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05" windowWidth="14805" windowHeight="8010"/>
  </bookViews>
  <sheets>
    <sheet name="Raw_Data" sheetId="3" r:id="rId1"/>
    <sheet name="Pivot table" sheetId="1" r:id="rId2"/>
    <sheet name="Dashboard" sheetId="2" r:id="rId3"/>
  </sheets>
  <definedNames>
    <definedName name="NativeTimeline_Date">#N/A</definedName>
    <definedName name="Slicer_City">#N/A</definedName>
    <definedName name="Slicer_Item">#N/A</definedName>
    <definedName name="Slicer_Seller">#N/A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C18" i="1"/>
</calcChain>
</file>

<file path=xl/sharedStrings.xml><?xml version="1.0" encoding="utf-8"?>
<sst xmlns="http://schemas.openxmlformats.org/spreadsheetml/2006/main" count="615" uniqueCount="38">
  <si>
    <t>M/B</t>
  </si>
  <si>
    <t>April</t>
  </si>
  <si>
    <t>Lucknow</t>
  </si>
  <si>
    <t>ABHISHEK DIXIT</t>
  </si>
  <si>
    <t>Mic</t>
  </si>
  <si>
    <t>SSD</t>
  </si>
  <si>
    <t>RAM</t>
  </si>
  <si>
    <t>Keyboard</t>
  </si>
  <si>
    <t>Mouse</t>
  </si>
  <si>
    <t>Sitapur</t>
  </si>
  <si>
    <t>GAJENDRA SINGH</t>
  </si>
  <si>
    <t>NITESH CHAURASIYA</t>
  </si>
  <si>
    <t>Lakhimpur</t>
  </si>
  <si>
    <t>ADITYA KUMAR</t>
  </si>
  <si>
    <t>RAM PRAVESH</t>
  </si>
  <si>
    <t>SHIVAM VERMA</t>
  </si>
  <si>
    <t>March</t>
  </si>
  <si>
    <t>February</t>
  </si>
  <si>
    <t>January</t>
  </si>
  <si>
    <t>Total</t>
  </si>
  <si>
    <t>Rate</t>
  </si>
  <si>
    <t>Qty</t>
  </si>
  <si>
    <t>Date</t>
  </si>
  <si>
    <t>Months</t>
  </si>
  <si>
    <t>Seller</t>
  </si>
  <si>
    <t>S.N</t>
  </si>
  <si>
    <t>Row Labels</t>
  </si>
  <si>
    <t>Grand Total</t>
  </si>
  <si>
    <t>Sum of Total</t>
  </si>
  <si>
    <t>(All)</t>
  </si>
  <si>
    <t>Sum of Qty</t>
  </si>
  <si>
    <t>Product/Item</t>
  </si>
  <si>
    <t>Region/ City</t>
  </si>
  <si>
    <t>Pivot Table 1</t>
  </si>
  <si>
    <t>Pivot Table 2</t>
  </si>
  <si>
    <t>Pivot Table 3</t>
  </si>
  <si>
    <t>Pivot Table 4</t>
  </si>
  <si>
    <t>PIVOT TABLE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</si>
</sst>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INR]\ #,##0"/>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b/>
      <sz val="72"/>
      <color theme="0"/>
      <name val="Calibri"/>
      <family val="2"/>
      <scheme val="minor"/>
    </font>
  </fonts>
  <fills count="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tint="-0.34998626667073579"/>
        <bgColor indexed="64"/>
      </patternFill>
    </fill>
  </fills>
  <borders count="14">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46">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left" vertical="center"/>
    </xf>
    <xf numFmtId="0" fontId="0" fillId="0" borderId="6" xfId="0"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0" fillId="5" borderId="0" xfId="0" applyFill="1"/>
    <xf numFmtId="0" fontId="3" fillId="5" borderId="0" xfId="0" applyFont="1" applyFill="1"/>
    <xf numFmtId="3" fontId="0" fillId="5" borderId="0" xfId="0" applyNumberFormat="1" applyFill="1" applyAlignment="1">
      <alignment horizontal="center" vertical="center"/>
    </xf>
    <xf numFmtId="164" fontId="0" fillId="5" borderId="0" xfId="0" applyNumberFormat="1" applyFill="1" applyAlignment="1">
      <alignment horizontal="center" vertical="center"/>
    </xf>
    <xf numFmtId="0" fontId="0" fillId="5" borderId="0" xfId="0" applyNumberFormat="1" applyFill="1"/>
    <xf numFmtId="0" fontId="3" fillId="5" borderId="0" xfId="0" applyFont="1" applyFill="1" applyBorder="1"/>
    <xf numFmtId="164" fontId="2" fillId="5" borderId="0" xfId="0" applyNumberFormat="1" applyFont="1" applyFill="1" applyBorder="1"/>
    <xf numFmtId="0" fontId="0" fillId="5" borderId="0" xfId="0" applyNumberFormat="1" applyFill="1" applyAlignment="1">
      <alignment horizontal="center" vertical="center"/>
    </xf>
    <xf numFmtId="0" fontId="0" fillId="5" borderId="0" xfId="0" applyFill="1" applyAlignment="1">
      <alignment horizontal="left"/>
    </xf>
    <xf numFmtId="0" fontId="2" fillId="3" borderId="1" xfId="0" applyFont="1" applyFill="1" applyBorder="1"/>
    <xf numFmtId="0" fontId="0" fillId="3" borderId="10" xfId="0" applyFill="1" applyBorder="1"/>
    <xf numFmtId="0" fontId="0" fillId="3" borderId="4" xfId="0" applyFill="1" applyBorder="1"/>
    <xf numFmtId="0" fontId="0" fillId="3" borderId="11" xfId="0" applyFill="1" applyBorder="1"/>
    <xf numFmtId="0" fontId="0" fillId="3" borderId="0" xfId="0" applyFill="1" applyBorder="1"/>
    <xf numFmtId="0" fontId="0" fillId="3" borderId="12" xfId="0" applyFill="1" applyBorder="1"/>
    <xf numFmtId="0" fontId="3" fillId="3" borderId="0" xfId="0" applyFont="1" applyFill="1" applyBorder="1"/>
    <xf numFmtId="0" fontId="3" fillId="3" borderId="12" xfId="0" applyFont="1" applyFill="1" applyBorder="1"/>
    <xf numFmtId="0" fontId="0" fillId="3" borderId="0" xfId="0" applyFill="1" applyBorder="1" applyAlignment="1">
      <alignment horizontal="left"/>
    </xf>
    <xf numFmtId="3" fontId="0" fillId="3" borderId="12" xfId="0" applyNumberFormat="1" applyFill="1" applyBorder="1" applyAlignment="1">
      <alignment horizontal="center" vertical="center"/>
    </xf>
    <xf numFmtId="0" fontId="0" fillId="3" borderId="7" xfId="0" applyFill="1" applyBorder="1"/>
    <xf numFmtId="0" fontId="0" fillId="3" borderId="13" xfId="0" applyFill="1" applyBorder="1" applyAlignment="1">
      <alignment horizontal="left"/>
    </xf>
    <xf numFmtId="164" fontId="0" fillId="3" borderId="9" xfId="0" applyNumberFormat="1" applyFill="1" applyBorder="1" applyAlignment="1">
      <alignment horizontal="center" vertical="center"/>
    </xf>
    <xf numFmtId="0" fontId="3" fillId="3" borderId="10" xfId="0" applyFont="1" applyFill="1" applyBorder="1"/>
    <xf numFmtId="0" fontId="3" fillId="3" borderId="4" xfId="0" applyFont="1" applyFill="1" applyBorder="1"/>
    <xf numFmtId="0" fontId="0" fillId="3" borderId="12" xfId="0" applyNumberFormat="1" applyFill="1" applyBorder="1" applyAlignment="1">
      <alignment horizontal="center" vertical="center"/>
    </xf>
    <xf numFmtId="0" fontId="0" fillId="3" borderId="9" xfId="0" applyNumberFormat="1" applyFill="1" applyBorder="1" applyAlignment="1">
      <alignment horizontal="center" vertical="center"/>
    </xf>
    <xf numFmtId="0" fontId="0" fillId="3" borderId="13" xfId="0" applyNumberFormat="1" applyFill="1" applyBorder="1" applyAlignment="1">
      <alignment horizontal="center" vertical="center"/>
    </xf>
    <xf numFmtId="164" fontId="2" fillId="3" borderId="9" xfId="0" applyNumberFormat="1" applyFont="1" applyFill="1" applyBorder="1"/>
    <xf numFmtId="0" fontId="3" fillId="3" borderId="4" xfId="0" applyFont="1" applyFill="1" applyBorder="1" applyAlignment="1">
      <alignment horizontal="center" vertical="center"/>
    </xf>
    <xf numFmtId="0" fontId="4" fillId="4" borderId="0" xfId="0" applyFont="1" applyFill="1" applyAlignment="1">
      <alignment horizontal="center" vertical="center"/>
    </xf>
  </cellXfs>
  <cellStyles count="1">
    <cellStyle name="Normal" xfId="0" builtinId="0"/>
  </cellStyles>
  <dxfs count="98">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FF0000"/>
      </font>
    </dxf>
    <dxf>
      <font>
        <color rgb="FFFF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alignment vertical="center" readingOrder="0"/>
    </dxf>
    <dxf>
      <alignment horizontal="center" readingOrder="0"/>
    </dxf>
    <dxf>
      <alignment vertical="center" readingOrder="0"/>
    </dxf>
    <dxf>
      <alignment horizontal="center" readingOrder="0"/>
    </dxf>
    <dxf>
      <border>
        <left style="thin">
          <color indexed="64"/>
        </left>
        <top style="thin">
          <color indexed="64"/>
        </top>
        <bottom style="thin">
          <color indexed="64"/>
        </bottom>
      </border>
    </dxf>
    <dxf>
      <border>
        <left style="thin">
          <color indexed="64"/>
        </left>
        <top style="thin">
          <color indexed="64"/>
        </top>
        <bottom style="thin">
          <color indexed="64"/>
        </bottom>
      </border>
    </dxf>
    <dxf>
      <border>
        <left style="thin">
          <color indexed="64"/>
        </left>
        <top style="thin">
          <color indexed="64"/>
        </top>
        <bottom style="thin">
          <color indexed="64"/>
        </bottom>
      </border>
    </dxf>
    <dxf>
      <font>
        <color rgb="FFFF0000"/>
      </font>
    </dxf>
    <dxf>
      <fill>
        <patternFill>
          <bgColor theme="5" tint="0.79998168889431442"/>
        </patternFill>
      </fill>
    </dxf>
    <dxf>
      <fill>
        <patternFill>
          <bgColor theme="5" tint="0.79998168889431442"/>
        </patternFill>
      </fill>
    </dxf>
    <dxf>
      <fill>
        <patternFill>
          <bgColor theme="5" tint="0.79998168889431442"/>
        </patternFill>
      </fill>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rgb="FFFF0000"/>
      </font>
    </dxf>
    <dxf>
      <font>
        <color rgb="FFFF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numFmt numFmtId="164" formatCode="[$INR]\ #,##0"/>
    </dxf>
    <dxf>
      <alignment vertical="center" readingOrder="0"/>
    </dxf>
    <dxf>
      <alignment horizontal="center" readingOrder="0"/>
    </dxf>
    <dxf>
      <alignment vertical="center" readingOrder="0"/>
    </dxf>
    <dxf>
      <alignment horizontal="center" readingOrder="0"/>
    </dxf>
    <dxf>
      <numFmt numFmtId="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readingOrder="0"/>
    </dxf>
    <dxf>
      <alignment horizontal="center" readingOrder="0"/>
    </dxf>
    <dxf>
      <font>
        <color rgb="FFFF0000"/>
      </font>
    </dxf>
    <dxf>
      <font>
        <color rgb="FFFF0000"/>
      </font>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numFmt numFmtId="164" formatCode="[$INR]\ #,##0"/>
    </dxf>
    <dxf>
      <alignment vertical="center" readingOrder="0"/>
    </dxf>
    <dxf>
      <alignment horizontal="center" readingOrder="0"/>
    </dxf>
    <dxf>
      <numFmt numFmtId="3" formatCode="#,##0"/>
    </dxf>
    <dxf>
      <alignment vertical="center" readingOrder="0"/>
    </dxf>
    <dxf>
      <alignment horizontal="center"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theme="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chemeClr val="tx1"/>
                </a:solidFill>
                <a:latin typeface="Times New Roman" panose="02020603050405020304" pitchFamily="18" charset="0"/>
                <a:cs typeface="Times New Roman" panose="02020603050405020304" pitchFamily="18" charset="0"/>
              </a:rPr>
              <a:t>Month-wise</a:t>
            </a:r>
            <a:r>
              <a:rPr lang="en-US" sz="1600" b="1" baseline="0">
                <a:solidFill>
                  <a:schemeClr val="tx1"/>
                </a:solidFill>
                <a:latin typeface="Times New Roman" panose="02020603050405020304" pitchFamily="18" charset="0"/>
                <a:cs typeface="Times New Roman" panose="02020603050405020304" pitchFamily="18" charset="0"/>
              </a:rPr>
              <a:t> Sale</a:t>
            </a:r>
            <a:endParaRPr lang="en-US" sz="1600"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table'!$C$8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table'!$B$9:$B$13</c:f>
              <c:strCache>
                <c:ptCount val="4"/>
                <c:pt idx="0">
                  <c:v>January</c:v>
                </c:pt>
                <c:pt idx="1">
                  <c:v>February</c:v>
                </c:pt>
                <c:pt idx="2">
                  <c:v>March</c:v>
                </c:pt>
                <c:pt idx="3">
                  <c:v>April</c:v>
                </c:pt>
              </c:strCache>
            </c:strRef>
          </c:cat>
          <c:val>
            <c:numRef>
              <c:f>'Pivot table'!$C$9:$C$13</c:f>
              <c:numCache>
                <c:formatCode>#,##0</c:formatCode>
                <c:ptCount val="4"/>
                <c:pt idx="0">
                  <c:v>1014550</c:v>
                </c:pt>
                <c:pt idx="1">
                  <c:v>926100</c:v>
                </c:pt>
                <c:pt idx="2">
                  <c:v>1108400</c:v>
                </c:pt>
                <c:pt idx="3">
                  <c:v>1038900</c:v>
                </c:pt>
              </c:numCache>
            </c:numRef>
          </c:val>
          <c:smooth val="0"/>
        </c:ser>
        <c:dLbls>
          <c:showLegendKey val="0"/>
          <c:showVal val="0"/>
          <c:showCatName val="0"/>
          <c:showSerName val="0"/>
          <c:showPercent val="0"/>
          <c:showBubbleSize val="0"/>
        </c:dLbls>
        <c:smooth val="0"/>
        <c:axId val="256641240"/>
        <c:axId val="256642024"/>
      </c:lineChart>
      <c:catAx>
        <c:axId val="256641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642024"/>
        <c:crosses val="autoZero"/>
        <c:auto val="1"/>
        <c:lblAlgn val="ctr"/>
        <c:lblOffset val="100"/>
        <c:noMultiLvlLbl val="0"/>
      </c:catAx>
      <c:valAx>
        <c:axId val="25664202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56641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chemeClr val="tx1"/>
                </a:solidFill>
                <a:latin typeface="Times New Roman" panose="02020603050405020304" pitchFamily="18" charset="0"/>
                <a:cs typeface="Times New Roman" panose="02020603050405020304" pitchFamily="18" charset="0"/>
              </a:rPr>
              <a:t>Product/Item</a:t>
            </a:r>
            <a:r>
              <a:rPr lang="en-US" sz="1600" b="1" baseline="0">
                <a:solidFill>
                  <a:schemeClr val="tx1"/>
                </a:solidFill>
                <a:latin typeface="Times New Roman" panose="02020603050405020304" pitchFamily="18" charset="0"/>
                <a:cs typeface="Times New Roman" panose="02020603050405020304" pitchFamily="18" charset="0"/>
              </a:rPr>
              <a:t> Qty</a:t>
            </a:r>
            <a:endParaRPr lang="en-US" sz="1600" b="1">
              <a:solidFill>
                <a:schemeClr val="tx1"/>
              </a:solidFill>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pieChart>
        <c:varyColors val="1"/>
        <c:ser>
          <c:idx val="0"/>
          <c:order val="0"/>
          <c:tx>
            <c:strRef>
              <c:f>'Pivot table'!$G$6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table'!$F$7:$F$13</c:f>
              <c:strCache>
                <c:ptCount val="6"/>
                <c:pt idx="0">
                  <c:v>Keyboard</c:v>
                </c:pt>
                <c:pt idx="1">
                  <c:v>M/B</c:v>
                </c:pt>
                <c:pt idx="2">
                  <c:v>Mic</c:v>
                </c:pt>
                <c:pt idx="3">
                  <c:v>Mouse</c:v>
                </c:pt>
                <c:pt idx="4">
                  <c:v>RAM</c:v>
                </c:pt>
                <c:pt idx="5">
                  <c:v>SSD</c:v>
                </c:pt>
              </c:strCache>
            </c:strRef>
          </c:cat>
          <c:val>
            <c:numRef>
              <c:f>'Pivot table'!$G$7:$G$13</c:f>
              <c:numCache>
                <c:formatCode>General</c:formatCode>
                <c:ptCount val="6"/>
                <c:pt idx="0">
                  <c:v>217</c:v>
                </c:pt>
                <c:pt idx="1">
                  <c:v>244</c:v>
                </c:pt>
                <c:pt idx="2">
                  <c:v>244</c:v>
                </c:pt>
                <c:pt idx="3">
                  <c:v>218</c:v>
                </c:pt>
                <c:pt idx="4">
                  <c:v>248</c:v>
                </c:pt>
                <c:pt idx="5">
                  <c:v>263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a:solidFill>
                  <a:schemeClr val="tx1"/>
                </a:solidFill>
                <a:latin typeface="Times New Roman" panose="02020603050405020304" pitchFamily="18" charset="0"/>
                <a:cs typeface="Times New Roman" panose="02020603050405020304" pitchFamily="18" charset="0"/>
              </a:rPr>
              <a:t>Region/City wise Sale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table'!$F$18:$F$21</c:f>
              <c:strCache>
                <c:ptCount val="3"/>
                <c:pt idx="0">
                  <c:v>Lakhimpur</c:v>
                </c:pt>
                <c:pt idx="1">
                  <c:v>Lucknow</c:v>
                </c:pt>
                <c:pt idx="2">
                  <c:v>Sitapur</c:v>
                </c:pt>
              </c:strCache>
            </c:strRef>
          </c:cat>
          <c:val>
            <c:numRef>
              <c:f>'Pivot table'!$G$18:$G$21</c:f>
              <c:numCache>
                <c:formatCode>#,##0</c:formatCode>
                <c:ptCount val="3"/>
                <c:pt idx="0">
                  <c:v>1203900</c:v>
                </c:pt>
                <c:pt idx="1">
                  <c:v>1340900</c:v>
                </c:pt>
                <c:pt idx="2">
                  <c:v>1543150</c:v>
                </c:pt>
              </c:numCache>
            </c:numRef>
          </c:val>
        </c:ser>
        <c:dLbls>
          <c:showLegendKey val="0"/>
          <c:showVal val="0"/>
          <c:showCatName val="0"/>
          <c:showSerName val="0"/>
          <c:showPercent val="0"/>
          <c:showBubbleSize val="0"/>
        </c:dLbls>
        <c:gapWidth val="219"/>
        <c:overlap val="-27"/>
        <c:axId val="256638888"/>
        <c:axId val="256640064"/>
      </c:barChart>
      <c:catAx>
        <c:axId val="256638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640064"/>
        <c:crosses val="autoZero"/>
        <c:auto val="1"/>
        <c:lblAlgn val="ctr"/>
        <c:lblOffset val="100"/>
        <c:noMultiLvlLbl val="0"/>
      </c:catAx>
      <c:valAx>
        <c:axId val="25664006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256638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1</xdr:row>
      <xdr:rowOff>133350</xdr:rowOff>
    </xdr:from>
    <xdr:to>
      <xdr:col>6</xdr:col>
      <xdr:colOff>371475</xdr:colOff>
      <xdr:row>4</xdr:row>
      <xdr:rowOff>95250</xdr:rowOff>
    </xdr:to>
    <xdr:pic>
      <xdr:nvPicPr>
        <xdr:cNvPr id="6"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942975"/>
          <a:ext cx="3648075" cy="1323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0</xdr:rowOff>
    </xdr:from>
    <xdr:to>
      <xdr:col>21</xdr:col>
      <xdr:colOff>419100</xdr:colOff>
      <xdr:row>30</xdr:row>
      <xdr:rowOff>47625</xdr:rowOff>
    </xdr:to>
    <xdr:sp macro="" textlink="">
      <xdr:nvSpPr>
        <xdr:cNvPr id="2" name="Rounded Rectangle 1"/>
        <xdr:cNvSpPr/>
      </xdr:nvSpPr>
      <xdr:spPr>
        <a:xfrm>
          <a:off x="85725" y="0"/>
          <a:ext cx="13134975" cy="5762625"/>
        </a:xfrm>
        <a:prstGeom prst="roundRect">
          <a:avLst>
            <a:gd name="adj" fmla="val 2529"/>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t>
          </a:r>
        </a:p>
      </xdr:txBody>
    </xdr:sp>
    <xdr:clientData/>
  </xdr:twoCellAnchor>
  <xdr:twoCellAnchor>
    <xdr:from>
      <xdr:col>0</xdr:col>
      <xdr:colOff>196849</xdr:colOff>
      <xdr:row>0</xdr:row>
      <xdr:rowOff>185208</xdr:rowOff>
    </xdr:from>
    <xdr:to>
      <xdr:col>10</xdr:col>
      <xdr:colOff>19050</xdr:colOff>
      <xdr:row>4</xdr:row>
      <xdr:rowOff>171450</xdr:rowOff>
    </xdr:to>
    <xdr:sp macro="" textlink="">
      <xdr:nvSpPr>
        <xdr:cNvPr id="8" name="Rectangle 7"/>
        <xdr:cNvSpPr/>
      </xdr:nvSpPr>
      <xdr:spPr>
        <a:xfrm>
          <a:off x="196849" y="185208"/>
          <a:ext cx="5918201" cy="748242"/>
        </a:xfrm>
        <a:prstGeom prst="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2">
                  <a:lumMod val="25000"/>
                </a:schemeClr>
              </a:solidFill>
              <a:latin typeface="Times New Roman" panose="02020603050405020304" pitchFamily="18" charset="0"/>
              <a:cs typeface="Times New Roman" panose="02020603050405020304" pitchFamily="18" charset="0"/>
            </a:rPr>
            <a:t>Interactive Sales</a:t>
          </a:r>
          <a:r>
            <a:rPr lang="en-IN" sz="3200" b="1" baseline="0">
              <a:solidFill>
                <a:schemeClr val="bg2">
                  <a:lumMod val="25000"/>
                </a:schemeClr>
              </a:solidFill>
              <a:latin typeface="Times New Roman" panose="02020603050405020304" pitchFamily="18" charset="0"/>
              <a:cs typeface="Times New Roman" panose="02020603050405020304" pitchFamily="18" charset="0"/>
            </a:rPr>
            <a:t> Dashboard</a:t>
          </a:r>
          <a:endParaRPr lang="en-IN" sz="3200" b="1">
            <a:solidFill>
              <a:schemeClr val="bg2">
                <a:lumMod val="2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207433</xdr:colOff>
      <xdr:row>5</xdr:row>
      <xdr:rowOff>140759</xdr:rowOff>
    </xdr:from>
    <xdr:to>
      <xdr:col>5</xdr:col>
      <xdr:colOff>262466</xdr:colOff>
      <xdr:row>9</xdr:row>
      <xdr:rowOff>140759</xdr:rowOff>
    </xdr:to>
    <xdr:sp macro="" textlink="">
      <xdr:nvSpPr>
        <xdr:cNvPr id="9" name="Rectangle 8"/>
        <xdr:cNvSpPr/>
      </xdr:nvSpPr>
      <xdr:spPr>
        <a:xfrm>
          <a:off x="207433" y="1093259"/>
          <a:ext cx="3103033" cy="7620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2000" b="1">
              <a:solidFill>
                <a:schemeClr val="tx2"/>
              </a:solidFill>
              <a:latin typeface="Times New Roman" panose="02020603050405020304" pitchFamily="18" charset="0"/>
              <a:cs typeface="Times New Roman" panose="02020603050405020304" pitchFamily="18" charset="0"/>
            </a:rPr>
            <a:t>Total</a:t>
          </a:r>
          <a:r>
            <a:rPr lang="en-IN" sz="2000" b="1" baseline="0">
              <a:solidFill>
                <a:schemeClr val="tx2"/>
              </a:solidFill>
              <a:latin typeface="Times New Roman" panose="02020603050405020304" pitchFamily="18" charset="0"/>
              <a:cs typeface="Times New Roman" panose="02020603050405020304" pitchFamily="18" charset="0"/>
            </a:rPr>
            <a:t> Sale Amount</a:t>
          </a:r>
        </a:p>
      </xdr:txBody>
    </xdr:sp>
    <xdr:clientData/>
  </xdr:twoCellAnchor>
  <xdr:twoCellAnchor>
    <xdr:from>
      <xdr:col>1</xdr:col>
      <xdr:colOff>340784</xdr:colOff>
      <xdr:row>7</xdr:row>
      <xdr:rowOff>158749</xdr:rowOff>
    </xdr:from>
    <xdr:to>
      <xdr:col>3</xdr:col>
      <xdr:colOff>597959</xdr:colOff>
      <xdr:row>9</xdr:row>
      <xdr:rowOff>15874</xdr:rowOff>
    </xdr:to>
    <xdr:sp macro="" textlink="'Pivot table'!C18">
      <xdr:nvSpPr>
        <xdr:cNvPr id="10" name="Rectangle 9"/>
        <xdr:cNvSpPr/>
      </xdr:nvSpPr>
      <xdr:spPr>
        <a:xfrm>
          <a:off x="950384" y="1492249"/>
          <a:ext cx="1476375" cy="2381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34F4DDF-5878-4528-B1CC-E926B5BDDE60}" type="TxLink">
            <a:rPr lang="en-US" sz="1600" b="1" i="0" u="none" strike="noStrike">
              <a:solidFill>
                <a:schemeClr val="accent1"/>
              </a:solidFill>
              <a:latin typeface="Times New Roman" panose="02020603050405020304" pitchFamily="18" charset="0"/>
              <a:cs typeface="Times New Roman" panose="02020603050405020304" pitchFamily="18" charset="0"/>
            </a:rPr>
            <a:pPr algn="ctr"/>
            <a:t>INR 40,87,950</a:t>
          </a:fld>
          <a:endParaRPr lang="en-IN" sz="2000" b="1">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390525</xdr:colOff>
      <xdr:row>15</xdr:row>
      <xdr:rowOff>44450</xdr:rowOff>
    </xdr:from>
    <xdr:to>
      <xdr:col>21</xdr:col>
      <xdr:colOff>142874</xdr:colOff>
      <xdr:row>29</xdr:row>
      <xdr:rowOff>120650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104775</xdr:colOff>
      <xdr:row>12</xdr:row>
      <xdr:rowOff>19050</xdr:rowOff>
    </xdr:from>
    <xdr:to>
      <xdr:col>6</xdr:col>
      <xdr:colOff>19050</xdr:colOff>
      <xdr:row>29</xdr:row>
      <xdr:rowOff>106362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581026</xdr:colOff>
      <xdr:row>15</xdr:row>
      <xdr:rowOff>42862</xdr:rowOff>
    </xdr:from>
    <xdr:to>
      <xdr:col>13</xdr:col>
      <xdr:colOff>447676</xdr:colOff>
      <xdr:row>29</xdr:row>
      <xdr:rowOff>119062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57150</xdr:colOff>
      <xdr:row>0</xdr:row>
      <xdr:rowOff>177800</xdr:rowOff>
    </xdr:from>
    <xdr:to>
      <xdr:col>21</xdr:col>
      <xdr:colOff>152400</xdr:colOff>
      <xdr:row>14</xdr:row>
      <xdr:rowOff>34925</xdr:rowOff>
    </xdr:to>
    <mc:AlternateContent xmlns:mc="http://schemas.openxmlformats.org/markup-compatibility/2006" xmlns:a14="http://schemas.microsoft.com/office/drawing/2010/main">
      <mc:Choice Requires="a14">
        <xdr:graphicFrame macro="">
          <xdr:nvGraphicFramePr>
            <xdr:cNvPr id="14" name="Selle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11029950" y="177800"/>
              <a:ext cx="19240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209550</xdr:colOff>
      <xdr:row>1</xdr:row>
      <xdr:rowOff>14816</xdr:rowOff>
    </xdr:from>
    <xdr:to>
      <xdr:col>14</xdr:col>
      <xdr:colOff>171449</xdr:colOff>
      <xdr:row>14</xdr:row>
      <xdr:rowOff>62441</xdr:rowOff>
    </xdr:to>
    <mc:AlternateContent xmlns:mc="http://schemas.openxmlformats.org/markup-compatibility/2006" xmlns:a14="http://schemas.microsoft.com/office/drawing/2010/main">
      <mc:Choice Requires="a14">
        <xdr:graphicFrame macro="">
          <xdr:nvGraphicFramePr>
            <xdr:cNvPr id="15"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038975" y="205316"/>
              <a:ext cx="1947333"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447676</xdr:colOff>
      <xdr:row>0</xdr:row>
      <xdr:rowOff>185208</xdr:rowOff>
    </xdr:from>
    <xdr:to>
      <xdr:col>17</xdr:col>
      <xdr:colOff>342900</xdr:colOff>
      <xdr:row>14</xdr:row>
      <xdr:rowOff>42333</xdr:rowOff>
    </xdr:to>
    <mc:AlternateContent xmlns:mc="http://schemas.openxmlformats.org/markup-compatibility/2006" xmlns:a14="http://schemas.microsoft.com/office/drawing/2010/main">
      <mc:Choice Requires="a14">
        <xdr:graphicFrame macro="">
          <xdr:nvGraphicFramePr>
            <xdr:cNvPr id="16"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096375" y="185208"/>
              <a:ext cx="1924049"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581025</xdr:colOff>
      <xdr:row>10</xdr:row>
      <xdr:rowOff>104776</xdr:rowOff>
    </xdr:from>
    <xdr:to>
      <xdr:col>10</xdr:col>
      <xdr:colOff>514350</xdr:colOff>
      <xdr:row>14</xdr:row>
      <xdr:rowOff>9526</xdr:rowOff>
    </xdr:to>
    <mc:AlternateContent xmlns:mc="http://schemas.openxmlformats.org/markup-compatibility/2006" xmlns:tsle="http://schemas.microsoft.com/office/drawing/2012/timeslicer">
      <mc:Choice Requires="tsle">
        <xdr:graphicFrame macro="">
          <xdr:nvGraphicFramePr>
            <xdr:cNvPr id="17"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238625" y="2009776"/>
              <a:ext cx="2371725" cy="666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ir13\Desktop\Roopal%20work\Dashhhhhh.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13.975337847223" createdVersion="5" refreshedVersion="5" minRefreshableVersion="3" recordCount="144">
  <cacheSource type="worksheet">
    <worksheetSource name="Table1" r:id="rId2"/>
  </cacheSource>
  <cacheFields count="9">
    <cacheField name="S.N"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Months" numFmtId="0">
      <sharedItems count="4">
        <s v="January"/>
        <s v="February"/>
        <s v="March"/>
        <s v="April"/>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cacheField>
    <cacheField name="Item" numFmtId="0">
      <sharedItems count="6">
        <s v="Mouse"/>
        <s v="Keyboard"/>
        <s v="RAM"/>
        <s v="SSD"/>
        <s v="Mic"/>
        <s v="M/B"/>
      </sharedItems>
    </cacheField>
    <cacheField name="Qty" numFmtId="0">
      <sharedItems containsSemiMixedTypes="0" containsString="0" containsNumber="1" containsInteger="1" minValue="4" maxValue="16" count="13">
        <n v="4"/>
        <n v="9"/>
        <n v="16"/>
        <n v="13"/>
        <n v="14"/>
        <n v="11"/>
        <n v="15"/>
        <n v="7"/>
        <n v="10"/>
        <n v="12"/>
        <n v="5"/>
        <n v="6"/>
        <n v="8"/>
      </sharedItems>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44">
  <r>
    <n v="1"/>
    <x v="0"/>
    <x v="0"/>
    <x v="0"/>
    <x v="0"/>
    <x v="0"/>
    <x v="0"/>
    <n v="150"/>
    <n v="600"/>
  </r>
  <r>
    <n v="2"/>
    <x v="0"/>
    <x v="0"/>
    <x v="0"/>
    <x v="0"/>
    <x v="1"/>
    <x v="1"/>
    <n v="350"/>
    <n v="3150"/>
  </r>
  <r>
    <n v="3"/>
    <x v="0"/>
    <x v="0"/>
    <x v="0"/>
    <x v="0"/>
    <x v="2"/>
    <x v="0"/>
    <n v="1800"/>
    <n v="7200"/>
  </r>
  <r>
    <n v="4"/>
    <x v="0"/>
    <x v="0"/>
    <x v="0"/>
    <x v="0"/>
    <x v="3"/>
    <x v="2"/>
    <n v="2300"/>
    <n v="36800"/>
  </r>
  <r>
    <n v="5"/>
    <x v="0"/>
    <x v="0"/>
    <x v="0"/>
    <x v="0"/>
    <x v="4"/>
    <x v="3"/>
    <n v="4000"/>
    <n v="52000"/>
  </r>
  <r>
    <n v="6"/>
    <x v="0"/>
    <x v="0"/>
    <x v="0"/>
    <x v="0"/>
    <x v="5"/>
    <x v="1"/>
    <n v="8000"/>
    <n v="72000"/>
  </r>
  <r>
    <n v="7"/>
    <x v="1"/>
    <x v="1"/>
    <x v="0"/>
    <x v="1"/>
    <x v="0"/>
    <x v="4"/>
    <n v="150"/>
    <n v="2100"/>
  </r>
  <r>
    <n v="8"/>
    <x v="2"/>
    <x v="1"/>
    <x v="0"/>
    <x v="1"/>
    <x v="0"/>
    <x v="3"/>
    <n v="150"/>
    <n v="1950"/>
  </r>
  <r>
    <n v="9"/>
    <x v="1"/>
    <x v="1"/>
    <x v="0"/>
    <x v="1"/>
    <x v="1"/>
    <x v="4"/>
    <n v="350"/>
    <n v="4900"/>
  </r>
  <r>
    <n v="10"/>
    <x v="2"/>
    <x v="1"/>
    <x v="0"/>
    <x v="1"/>
    <x v="1"/>
    <x v="5"/>
    <n v="350"/>
    <n v="3850"/>
  </r>
  <r>
    <n v="11"/>
    <x v="1"/>
    <x v="1"/>
    <x v="0"/>
    <x v="1"/>
    <x v="2"/>
    <x v="6"/>
    <n v="1800"/>
    <n v="27000"/>
  </r>
  <r>
    <n v="12"/>
    <x v="2"/>
    <x v="1"/>
    <x v="0"/>
    <x v="1"/>
    <x v="2"/>
    <x v="7"/>
    <n v="1800"/>
    <n v="12600"/>
  </r>
  <r>
    <n v="13"/>
    <x v="1"/>
    <x v="1"/>
    <x v="0"/>
    <x v="1"/>
    <x v="3"/>
    <x v="7"/>
    <n v="2300"/>
    <n v="16100"/>
  </r>
  <r>
    <n v="14"/>
    <x v="2"/>
    <x v="1"/>
    <x v="0"/>
    <x v="1"/>
    <x v="3"/>
    <x v="3"/>
    <n v="2300"/>
    <n v="29900"/>
  </r>
  <r>
    <n v="15"/>
    <x v="1"/>
    <x v="1"/>
    <x v="0"/>
    <x v="1"/>
    <x v="4"/>
    <x v="8"/>
    <n v="4000"/>
    <n v="40000"/>
  </r>
  <r>
    <n v="16"/>
    <x v="2"/>
    <x v="1"/>
    <x v="0"/>
    <x v="1"/>
    <x v="4"/>
    <x v="0"/>
    <n v="4000"/>
    <n v="16000"/>
  </r>
  <r>
    <n v="17"/>
    <x v="2"/>
    <x v="1"/>
    <x v="0"/>
    <x v="1"/>
    <x v="5"/>
    <x v="3"/>
    <n v="8000"/>
    <n v="104000"/>
  </r>
  <r>
    <n v="18"/>
    <x v="1"/>
    <x v="1"/>
    <x v="0"/>
    <x v="1"/>
    <x v="5"/>
    <x v="9"/>
    <n v="8000"/>
    <n v="96000"/>
  </r>
  <r>
    <n v="19"/>
    <x v="3"/>
    <x v="2"/>
    <x v="0"/>
    <x v="2"/>
    <x v="0"/>
    <x v="0"/>
    <n v="150"/>
    <n v="600"/>
  </r>
  <r>
    <n v="20"/>
    <x v="3"/>
    <x v="2"/>
    <x v="0"/>
    <x v="2"/>
    <x v="1"/>
    <x v="9"/>
    <n v="350"/>
    <n v="4200"/>
  </r>
  <r>
    <n v="21"/>
    <x v="3"/>
    <x v="2"/>
    <x v="0"/>
    <x v="2"/>
    <x v="2"/>
    <x v="10"/>
    <n v="1800"/>
    <n v="9000"/>
  </r>
  <r>
    <n v="22"/>
    <x v="3"/>
    <x v="2"/>
    <x v="0"/>
    <x v="2"/>
    <x v="3"/>
    <x v="8"/>
    <n v="2300"/>
    <n v="23000"/>
  </r>
  <r>
    <n v="23"/>
    <x v="3"/>
    <x v="2"/>
    <x v="0"/>
    <x v="2"/>
    <x v="4"/>
    <x v="8"/>
    <n v="4000"/>
    <n v="40000"/>
  </r>
  <r>
    <n v="24"/>
    <x v="3"/>
    <x v="2"/>
    <x v="0"/>
    <x v="2"/>
    <x v="5"/>
    <x v="8"/>
    <n v="8000"/>
    <n v="80000"/>
  </r>
  <r>
    <n v="25"/>
    <x v="4"/>
    <x v="0"/>
    <x v="0"/>
    <x v="3"/>
    <x v="0"/>
    <x v="5"/>
    <n v="150"/>
    <n v="1650"/>
  </r>
  <r>
    <n v="26"/>
    <x v="4"/>
    <x v="0"/>
    <x v="0"/>
    <x v="3"/>
    <x v="1"/>
    <x v="10"/>
    <n v="350"/>
    <n v="1750"/>
  </r>
  <r>
    <n v="27"/>
    <x v="4"/>
    <x v="0"/>
    <x v="0"/>
    <x v="3"/>
    <x v="2"/>
    <x v="4"/>
    <n v="1800"/>
    <n v="25200"/>
  </r>
  <r>
    <n v="28"/>
    <x v="4"/>
    <x v="0"/>
    <x v="0"/>
    <x v="3"/>
    <x v="3"/>
    <x v="11"/>
    <n v="2300"/>
    <n v="13800"/>
  </r>
  <r>
    <n v="29"/>
    <x v="4"/>
    <x v="0"/>
    <x v="0"/>
    <x v="3"/>
    <x v="4"/>
    <x v="4"/>
    <n v="4000"/>
    <n v="56000"/>
  </r>
  <r>
    <n v="30"/>
    <x v="4"/>
    <x v="0"/>
    <x v="0"/>
    <x v="3"/>
    <x v="5"/>
    <x v="4"/>
    <n v="8000"/>
    <n v="112000"/>
  </r>
  <r>
    <n v="31"/>
    <x v="5"/>
    <x v="2"/>
    <x v="0"/>
    <x v="4"/>
    <x v="0"/>
    <x v="1"/>
    <n v="150"/>
    <n v="1350"/>
  </r>
  <r>
    <n v="32"/>
    <x v="5"/>
    <x v="2"/>
    <x v="0"/>
    <x v="4"/>
    <x v="1"/>
    <x v="7"/>
    <n v="350"/>
    <n v="2450"/>
  </r>
  <r>
    <n v="33"/>
    <x v="5"/>
    <x v="2"/>
    <x v="0"/>
    <x v="4"/>
    <x v="2"/>
    <x v="7"/>
    <n v="1800"/>
    <n v="12600"/>
  </r>
  <r>
    <n v="34"/>
    <x v="5"/>
    <x v="2"/>
    <x v="0"/>
    <x v="4"/>
    <x v="3"/>
    <x v="2"/>
    <n v="2300"/>
    <n v="36800"/>
  </r>
  <r>
    <n v="35"/>
    <x v="5"/>
    <x v="2"/>
    <x v="0"/>
    <x v="4"/>
    <x v="4"/>
    <x v="10"/>
    <n v="4000"/>
    <n v="20000"/>
  </r>
  <r>
    <n v="36"/>
    <x v="5"/>
    <x v="2"/>
    <x v="0"/>
    <x v="4"/>
    <x v="5"/>
    <x v="11"/>
    <n v="8000"/>
    <n v="48000"/>
  </r>
  <r>
    <n v="37"/>
    <x v="0"/>
    <x v="0"/>
    <x v="1"/>
    <x v="5"/>
    <x v="0"/>
    <x v="9"/>
    <n v="150"/>
    <n v="1800"/>
  </r>
  <r>
    <n v="38"/>
    <x v="0"/>
    <x v="0"/>
    <x v="1"/>
    <x v="5"/>
    <x v="1"/>
    <x v="0"/>
    <n v="350"/>
    <n v="1400"/>
  </r>
  <r>
    <n v="39"/>
    <x v="0"/>
    <x v="0"/>
    <x v="1"/>
    <x v="5"/>
    <x v="2"/>
    <x v="8"/>
    <n v="1800"/>
    <n v="18000"/>
  </r>
  <r>
    <n v="40"/>
    <x v="0"/>
    <x v="0"/>
    <x v="1"/>
    <x v="5"/>
    <x v="3"/>
    <x v="5"/>
    <n v="2300"/>
    <n v="25300"/>
  </r>
  <r>
    <n v="41"/>
    <x v="0"/>
    <x v="0"/>
    <x v="1"/>
    <x v="5"/>
    <x v="4"/>
    <x v="9"/>
    <n v="4000"/>
    <n v="48000"/>
  </r>
  <r>
    <n v="42"/>
    <x v="0"/>
    <x v="0"/>
    <x v="1"/>
    <x v="5"/>
    <x v="5"/>
    <x v="5"/>
    <n v="8000"/>
    <n v="88000"/>
  </r>
  <r>
    <n v="43"/>
    <x v="1"/>
    <x v="1"/>
    <x v="1"/>
    <x v="6"/>
    <x v="0"/>
    <x v="12"/>
    <n v="150"/>
    <n v="1200"/>
  </r>
  <r>
    <n v="44"/>
    <x v="2"/>
    <x v="1"/>
    <x v="1"/>
    <x v="6"/>
    <x v="0"/>
    <x v="9"/>
    <n v="150"/>
    <n v="1800"/>
  </r>
  <r>
    <n v="45"/>
    <x v="1"/>
    <x v="1"/>
    <x v="1"/>
    <x v="6"/>
    <x v="1"/>
    <x v="0"/>
    <n v="350"/>
    <n v="1400"/>
  </r>
  <r>
    <n v="46"/>
    <x v="2"/>
    <x v="1"/>
    <x v="1"/>
    <x v="6"/>
    <x v="1"/>
    <x v="2"/>
    <n v="350"/>
    <n v="5600"/>
  </r>
  <r>
    <n v="47"/>
    <x v="1"/>
    <x v="1"/>
    <x v="1"/>
    <x v="6"/>
    <x v="2"/>
    <x v="12"/>
    <n v="1800"/>
    <n v="14400"/>
  </r>
  <r>
    <n v="48"/>
    <x v="2"/>
    <x v="1"/>
    <x v="1"/>
    <x v="6"/>
    <x v="2"/>
    <x v="0"/>
    <n v="1800"/>
    <n v="7200"/>
  </r>
  <r>
    <n v="49"/>
    <x v="1"/>
    <x v="1"/>
    <x v="1"/>
    <x v="6"/>
    <x v="3"/>
    <x v="11"/>
    <n v="2300"/>
    <n v="13800"/>
  </r>
  <r>
    <n v="50"/>
    <x v="2"/>
    <x v="1"/>
    <x v="1"/>
    <x v="6"/>
    <x v="3"/>
    <x v="8"/>
    <n v="2300"/>
    <n v="23000"/>
  </r>
  <r>
    <n v="51"/>
    <x v="1"/>
    <x v="1"/>
    <x v="1"/>
    <x v="6"/>
    <x v="4"/>
    <x v="3"/>
    <n v="4000"/>
    <n v="52000"/>
  </r>
  <r>
    <n v="52"/>
    <x v="2"/>
    <x v="1"/>
    <x v="1"/>
    <x v="6"/>
    <x v="4"/>
    <x v="0"/>
    <n v="4000"/>
    <n v="16000"/>
  </r>
  <r>
    <n v="53"/>
    <x v="2"/>
    <x v="1"/>
    <x v="1"/>
    <x v="6"/>
    <x v="5"/>
    <x v="10"/>
    <n v="8000"/>
    <n v="40000"/>
  </r>
  <r>
    <n v="54"/>
    <x v="1"/>
    <x v="1"/>
    <x v="1"/>
    <x v="6"/>
    <x v="5"/>
    <x v="11"/>
    <n v="8000"/>
    <n v="48000"/>
  </r>
  <r>
    <n v="55"/>
    <x v="3"/>
    <x v="2"/>
    <x v="1"/>
    <x v="7"/>
    <x v="0"/>
    <x v="5"/>
    <n v="150"/>
    <n v="1650"/>
  </r>
  <r>
    <n v="56"/>
    <x v="3"/>
    <x v="2"/>
    <x v="1"/>
    <x v="7"/>
    <x v="1"/>
    <x v="9"/>
    <n v="350"/>
    <n v="4200"/>
  </r>
  <r>
    <n v="57"/>
    <x v="3"/>
    <x v="2"/>
    <x v="1"/>
    <x v="7"/>
    <x v="2"/>
    <x v="6"/>
    <n v="1800"/>
    <n v="27000"/>
  </r>
  <r>
    <n v="58"/>
    <x v="3"/>
    <x v="2"/>
    <x v="1"/>
    <x v="7"/>
    <x v="3"/>
    <x v="10"/>
    <n v="2300"/>
    <n v="11500"/>
  </r>
  <r>
    <n v="59"/>
    <x v="3"/>
    <x v="2"/>
    <x v="1"/>
    <x v="7"/>
    <x v="4"/>
    <x v="10"/>
    <n v="4000"/>
    <n v="20000"/>
  </r>
  <r>
    <n v="60"/>
    <x v="3"/>
    <x v="2"/>
    <x v="1"/>
    <x v="7"/>
    <x v="5"/>
    <x v="10"/>
    <n v="8000"/>
    <n v="40000"/>
  </r>
  <r>
    <n v="61"/>
    <x v="4"/>
    <x v="0"/>
    <x v="1"/>
    <x v="8"/>
    <x v="0"/>
    <x v="10"/>
    <n v="150"/>
    <n v="750"/>
  </r>
  <r>
    <n v="62"/>
    <x v="4"/>
    <x v="0"/>
    <x v="1"/>
    <x v="8"/>
    <x v="1"/>
    <x v="4"/>
    <n v="350"/>
    <n v="4900"/>
  </r>
  <r>
    <n v="63"/>
    <x v="4"/>
    <x v="0"/>
    <x v="1"/>
    <x v="8"/>
    <x v="2"/>
    <x v="6"/>
    <n v="1800"/>
    <n v="27000"/>
  </r>
  <r>
    <n v="64"/>
    <x v="4"/>
    <x v="0"/>
    <x v="1"/>
    <x v="8"/>
    <x v="3"/>
    <x v="0"/>
    <n v="2300"/>
    <n v="9200"/>
  </r>
  <r>
    <n v="65"/>
    <x v="4"/>
    <x v="0"/>
    <x v="1"/>
    <x v="8"/>
    <x v="4"/>
    <x v="7"/>
    <n v="4000"/>
    <n v="28000"/>
  </r>
  <r>
    <n v="66"/>
    <x v="4"/>
    <x v="0"/>
    <x v="1"/>
    <x v="8"/>
    <x v="5"/>
    <x v="2"/>
    <n v="8000"/>
    <n v="128000"/>
  </r>
  <r>
    <n v="67"/>
    <x v="5"/>
    <x v="2"/>
    <x v="1"/>
    <x v="9"/>
    <x v="0"/>
    <x v="8"/>
    <n v="150"/>
    <n v="1500"/>
  </r>
  <r>
    <n v="68"/>
    <x v="5"/>
    <x v="2"/>
    <x v="1"/>
    <x v="9"/>
    <x v="1"/>
    <x v="8"/>
    <n v="350"/>
    <n v="3500"/>
  </r>
  <r>
    <n v="69"/>
    <x v="5"/>
    <x v="2"/>
    <x v="1"/>
    <x v="9"/>
    <x v="2"/>
    <x v="9"/>
    <n v="1800"/>
    <n v="21600"/>
  </r>
  <r>
    <n v="70"/>
    <x v="5"/>
    <x v="2"/>
    <x v="1"/>
    <x v="9"/>
    <x v="3"/>
    <x v="12"/>
    <n v="2300"/>
    <n v="18400"/>
  </r>
  <r>
    <n v="71"/>
    <x v="5"/>
    <x v="2"/>
    <x v="1"/>
    <x v="9"/>
    <x v="4"/>
    <x v="5"/>
    <n v="4000"/>
    <n v="44000"/>
  </r>
  <r>
    <n v="72"/>
    <x v="5"/>
    <x v="2"/>
    <x v="1"/>
    <x v="9"/>
    <x v="5"/>
    <x v="2"/>
    <n v="8000"/>
    <n v="128000"/>
  </r>
  <r>
    <n v="73"/>
    <x v="0"/>
    <x v="0"/>
    <x v="2"/>
    <x v="10"/>
    <x v="0"/>
    <x v="10"/>
    <n v="150"/>
    <n v="750"/>
  </r>
  <r>
    <n v="74"/>
    <x v="0"/>
    <x v="0"/>
    <x v="2"/>
    <x v="10"/>
    <x v="1"/>
    <x v="9"/>
    <n v="350"/>
    <n v="4200"/>
  </r>
  <r>
    <n v="75"/>
    <x v="0"/>
    <x v="0"/>
    <x v="2"/>
    <x v="10"/>
    <x v="2"/>
    <x v="4"/>
    <n v="1800"/>
    <n v="25200"/>
  </r>
  <r>
    <n v="76"/>
    <x v="0"/>
    <x v="0"/>
    <x v="2"/>
    <x v="10"/>
    <x v="3"/>
    <x v="12"/>
    <n v="2300"/>
    <n v="18400"/>
  </r>
  <r>
    <n v="77"/>
    <x v="0"/>
    <x v="0"/>
    <x v="2"/>
    <x v="10"/>
    <x v="4"/>
    <x v="2"/>
    <n v="4000"/>
    <n v="64000"/>
  </r>
  <r>
    <n v="78"/>
    <x v="0"/>
    <x v="0"/>
    <x v="2"/>
    <x v="10"/>
    <x v="5"/>
    <x v="6"/>
    <n v="8000"/>
    <n v="120000"/>
  </r>
  <r>
    <n v="79"/>
    <x v="1"/>
    <x v="1"/>
    <x v="2"/>
    <x v="11"/>
    <x v="0"/>
    <x v="0"/>
    <n v="150"/>
    <n v="600"/>
  </r>
  <r>
    <n v="80"/>
    <x v="2"/>
    <x v="1"/>
    <x v="2"/>
    <x v="11"/>
    <x v="0"/>
    <x v="0"/>
    <n v="150"/>
    <n v="600"/>
  </r>
  <r>
    <n v="81"/>
    <x v="1"/>
    <x v="1"/>
    <x v="2"/>
    <x v="11"/>
    <x v="1"/>
    <x v="9"/>
    <n v="350"/>
    <n v="4200"/>
  </r>
  <r>
    <n v="82"/>
    <x v="2"/>
    <x v="1"/>
    <x v="2"/>
    <x v="11"/>
    <x v="1"/>
    <x v="0"/>
    <n v="350"/>
    <n v="1400"/>
  </r>
  <r>
    <n v="83"/>
    <x v="1"/>
    <x v="1"/>
    <x v="2"/>
    <x v="11"/>
    <x v="2"/>
    <x v="10"/>
    <n v="1800"/>
    <n v="9000"/>
  </r>
  <r>
    <n v="84"/>
    <x v="2"/>
    <x v="1"/>
    <x v="2"/>
    <x v="11"/>
    <x v="2"/>
    <x v="10"/>
    <n v="1800"/>
    <n v="9000"/>
  </r>
  <r>
    <n v="85"/>
    <x v="1"/>
    <x v="1"/>
    <x v="2"/>
    <x v="11"/>
    <x v="3"/>
    <x v="6"/>
    <n v="2300"/>
    <n v="34500"/>
  </r>
  <r>
    <n v="86"/>
    <x v="2"/>
    <x v="1"/>
    <x v="2"/>
    <x v="11"/>
    <x v="3"/>
    <x v="5"/>
    <n v="2300"/>
    <n v="25300"/>
  </r>
  <r>
    <n v="87"/>
    <x v="1"/>
    <x v="1"/>
    <x v="2"/>
    <x v="11"/>
    <x v="4"/>
    <x v="12"/>
    <n v="4000"/>
    <n v="32000"/>
  </r>
  <r>
    <n v="88"/>
    <x v="2"/>
    <x v="1"/>
    <x v="2"/>
    <x v="11"/>
    <x v="4"/>
    <x v="6"/>
    <n v="4000"/>
    <n v="60000"/>
  </r>
  <r>
    <n v="89"/>
    <x v="2"/>
    <x v="1"/>
    <x v="2"/>
    <x v="11"/>
    <x v="5"/>
    <x v="11"/>
    <n v="8000"/>
    <n v="48000"/>
  </r>
  <r>
    <n v="90"/>
    <x v="1"/>
    <x v="1"/>
    <x v="2"/>
    <x v="11"/>
    <x v="5"/>
    <x v="12"/>
    <n v="8000"/>
    <n v="64000"/>
  </r>
  <r>
    <n v="91"/>
    <x v="3"/>
    <x v="2"/>
    <x v="2"/>
    <x v="12"/>
    <x v="0"/>
    <x v="10"/>
    <n v="150"/>
    <n v="750"/>
  </r>
  <r>
    <n v="92"/>
    <x v="3"/>
    <x v="2"/>
    <x v="2"/>
    <x v="12"/>
    <x v="1"/>
    <x v="11"/>
    <n v="350"/>
    <n v="2100"/>
  </r>
  <r>
    <n v="93"/>
    <x v="3"/>
    <x v="2"/>
    <x v="2"/>
    <x v="12"/>
    <x v="2"/>
    <x v="9"/>
    <n v="1800"/>
    <n v="21600"/>
  </r>
  <r>
    <n v="94"/>
    <x v="3"/>
    <x v="2"/>
    <x v="2"/>
    <x v="12"/>
    <x v="3"/>
    <x v="11"/>
    <n v="2300"/>
    <n v="13800"/>
  </r>
  <r>
    <n v="95"/>
    <x v="3"/>
    <x v="2"/>
    <x v="2"/>
    <x v="12"/>
    <x v="4"/>
    <x v="12"/>
    <n v="4000"/>
    <n v="32000"/>
  </r>
  <r>
    <n v="96"/>
    <x v="3"/>
    <x v="2"/>
    <x v="2"/>
    <x v="12"/>
    <x v="5"/>
    <x v="6"/>
    <n v="8000"/>
    <n v="120000"/>
  </r>
  <r>
    <n v="97"/>
    <x v="4"/>
    <x v="0"/>
    <x v="2"/>
    <x v="13"/>
    <x v="0"/>
    <x v="8"/>
    <n v="150"/>
    <n v="1500"/>
  </r>
  <r>
    <n v="98"/>
    <x v="4"/>
    <x v="0"/>
    <x v="2"/>
    <x v="13"/>
    <x v="1"/>
    <x v="1"/>
    <n v="350"/>
    <n v="3150"/>
  </r>
  <r>
    <n v="99"/>
    <x v="4"/>
    <x v="0"/>
    <x v="2"/>
    <x v="13"/>
    <x v="2"/>
    <x v="1"/>
    <n v="1800"/>
    <n v="16200"/>
  </r>
  <r>
    <n v="100"/>
    <x v="4"/>
    <x v="0"/>
    <x v="2"/>
    <x v="13"/>
    <x v="3"/>
    <x v="2"/>
    <n v="2300"/>
    <n v="36800"/>
  </r>
  <r>
    <n v="101"/>
    <x v="4"/>
    <x v="0"/>
    <x v="2"/>
    <x v="13"/>
    <x v="4"/>
    <x v="5"/>
    <n v="4000"/>
    <n v="44000"/>
  </r>
  <r>
    <n v="102"/>
    <x v="4"/>
    <x v="0"/>
    <x v="2"/>
    <x v="13"/>
    <x v="5"/>
    <x v="12"/>
    <n v="8000"/>
    <n v="64000"/>
  </r>
  <r>
    <n v="103"/>
    <x v="5"/>
    <x v="2"/>
    <x v="2"/>
    <x v="14"/>
    <x v="0"/>
    <x v="5"/>
    <n v="150"/>
    <n v="1650"/>
  </r>
  <r>
    <n v="104"/>
    <x v="5"/>
    <x v="2"/>
    <x v="2"/>
    <x v="14"/>
    <x v="1"/>
    <x v="0"/>
    <n v="350"/>
    <n v="1400"/>
  </r>
  <r>
    <n v="105"/>
    <x v="5"/>
    <x v="2"/>
    <x v="2"/>
    <x v="14"/>
    <x v="2"/>
    <x v="6"/>
    <n v="1800"/>
    <n v="27000"/>
  </r>
  <r>
    <n v="106"/>
    <x v="5"/>
    <x v="2"/>
    <x v="2"/>
    <x v="14"/>
    <x v="3"/>
    <x v="5"/>
    <n v="2300"/>
    <n v="25300"/>
  </r>
  <r>
    <n v="107"/>
    <x v="5"/>
    <x v="2"/>
    <x v="2"/>
    <x v="14"/>
    <x v="4"/>
    <x v="4"/>
    <n v="4000"/>
    <n v="56000"/>
  </r>
  <r>
    <n v="108"/>
    <x v="5"/>
    <x v="2"/>
    <x v="2"/>
    <x v="14"/>
    <x v="5"/>
    <x v="6"/>
    <n v="8000"/>
    <n v="120000"/>
  </r>
  <r>
    <n v="109"/>
    <x v="0"/>
    <x v="0"/>
    <x v="3"/>
    <x v="15"/>
    <x v="0"/>
    <x v="0"/>
    <n v="150"/>
    <n v="600"/>
  </r>
  <r>
    <n v="110"/>
    <x v="0"/>
    <x v="0"/>
    <x v="3"/>
    <x v="15"/>
    <x v="1"/>
    <x v="7"/>
    <n v="350"/>
    <n v="2450"/>
  </r>
  <r>
    <n v="111"/>
    <x v="0"/>
    <x v="0"/>
    <x v="3"/>
    <x v="15"/>
    <x v="2"/>
    <x v="9"/>
    <n v="1800"/>
    <n v="21600"/>
  </r>
  <r>
    <n v="112"/>
    <x v="0"/>
    <x v="0"/>
    <x v="3"/>
    <x v="15"/>
    <x v="3"/>
    <x v="6"/>
    <n v="2300"/>
    <n v="34500"/>
  </r>
  <r>
    <n v="113"/>
    <x v="0"/>
    <x v="0"/>
    <x v="3"/>
    <x v="15"/>
    <x v="4"/>
    <x v="9"/>
    <n v="4000"/>
    <n v="48000"/>
  </r>
  <r>
    <n v="114"/>
    <x v="0"/>
    <x v="0"/>
    <x v="3"/>
    <x v="15"/>
    <x v="5"/>
    <x v="8"/>
    <n v="8000"/>
    <n v="80000"/>
  </r>
  <r>
    <n v="115"/>
    <x v="1"/>
    <x v="1"/>
    <x v="3"/>
    <x v="16"/>
    <x v="0"/>
    <x v="4"/>
    <n v="150"/>
    <n v="2100"/>
  </r>
  <r>
    <n v="116"/>
    <x v="2"/>
    <x v="1"/>
    <x v="3"/>
    <x v="16"/>
    <x v="0"/>
    <x v="5"/>
    <n v="150"/>
    <n v="1650"/>
  </r>
  <r>
    <n v="117"/>
    <x v="1"/>
    <x v="1"/>
    <x v="3"/>
    <x v="16"/>
    <x v="1"/>
    <x v="1"/>
    <n v="350"/>
    <n v="3150"/>
  </r>
  <r>
    <n v="118"/>
    <x v="2"/>
    <x v="1"/>
    <x v="3"/>
    <x v="16"/>
    <x v="1"/>
    <x v="0"/>
    <n v="350"/>
    <n v="1400"/>
  </r>
  <r>
    <n v="119"/>
    <x v="1"/>
    <x v="1"/>
    <x v="3"/>
    <x v="16"/>
    <x v="2"/>
    <x v="6"/>
    <n v="1800"/>
    <n v="27000"/>
  </r>
  <r>
    <n v="120"/>
    <x v="2"/>
    <x v="1"/>
    <x v="3"/>
    <x v="16"/>
    <x v="2"/>
    <x v="2"/>
    <n v="1800"/>
    <n v="28800"/>
  </r>
  <r>
    <n v="121"/>
    <x v="1"/>
    <x v="1"/>
    <x v="3"/>
    <x v="16"/>
    <x v="3"/>
    <x v="4"/>
    <n v="2300"/>
    <n v="32200"/>
  </r>
  <r>
    <n v="122"/>
    <x v="2"/>
    <x v="1"/>
    <x v="3"/>
    <x v="16"/>
    <x v="3"/>
    <x v="4"/>
    <n v="2300"/>
    <n v="32200"/>
  </r>
  <r>
    <n v="123"/>
    <x v="1"/>
    <x v="1"/>
    <x v="3"/>
    <x v="16"/>
    <x v="4"/>
    <x v="1"/>
    <n v="4000"/>
    <n v="36000"/>
  </r>
  <r>
    <n v="124"/>
    <x v="2"/>
    <x v="1"/>
    <x v="3"/>
    <x v="16"/>
    <x v="4"/>
    <x v="10"/>
    <n v="4000"/>
    <n v="20000"/>
  </r>
  <r>
    <n v="125"/>
    <x v="2"/>
    <x v="1"/>
    <x v="3"/>
    <x v="16"/>
    <x v="5"/>
    <x v="6"/>
    <n v="8000"/>
    <n v="120000"/>
  </r>
  <r>
    <n v="126"/>
    <x v="1"/>
    <x v="1"/>
    <x v="3"/>
    <x v="16"/>
    <x v="5"/>
    <x v="0"/>
    <n v="8000"/>
    <n v="32000"/>
  </r>
  <r>
    <n v="127"/>
    <x v="3"/>
    <x v="2"/>
    <x v="3"/>
    <x v="17"/>
    <x v="0"/>
    <x v="1"/>
    <n v="150"/>
    <n v="1350"/>
  </r>
  <r>
    <n v="128"/>
    <x v="3"/>
    <x v="2"/>
    <x v="3"/>
    <x v="17"/>
    <x v="1"/>
    <x v="12"/>
    <n v="350"/>
    <n v="2800"/>
  </r>
  <r>
    <n v="129"/>
    <x v="3"/>
    <x v="2"/>
    <x v="3"/>
    <x v="17"/>
    <x v="2"/>
    <x v="11"/>
    <n v="1800"/>
    <n v="10800"/>
  </r>
  <r>
    <n v="130"/>
    <x v="3"/>
    <x v="2"/>
    <x v="3"/>
    <x v="17"/>
    <x v="3"/>
    <x v="9"/>
    <n v="2300"/>
    <n v="27600"/>
  </r>
  <r>
    <n v="131"/>
    <x v="3"/>
    <x v="2"/>
    <x v="3"/>
    <x v="17"/>
    <x v="4"/>
    <x v="1"/>
    <n v="4000"/>
    <n v="36000"/>
  </r>
  <r>
    <n v="132"/>
    <x v="3"/>
    <x v="2"/>
    <x v="3"/>
    <x v="17"/>
    <x v="5"/>
    <x v="7"/>
    <n v="8000"/>
    <n v="56000"/>
  </r>
  <r>
    <n v="133"/>
    <x v="4"/>
    <x v="0"/>
    <x v="3"/>
    <x v="18"/>
    <x v="0"/>
    <x v="6"/>
    <n v="150"/>
    <n v="2250"/>
  </r>
  <r>
    <n v="134"/>
    <x v="4"/>
    <x v="0"/>
    <x v="3"/>
    <x v="18"/>
    <x v="1"/>
    <x v="3"/>
    <n v="350"/>
    <n v="4550"/>
  </r>
  <r>
    <n v="135"/>
    <x v="4"/>
    <x v="0"/>
    <x v="3"/>
    <x v="18"/>
    <x v="2"/>
    <x v="8"/>
    <n v="1800"/>
    <n v="18000"/>
  </r>
  <r>
    <n v="136"/>
    <x v="4"/>
    <x v="0"/>
    <x v="3"/>
    <x v="18"/>
    <x v="3"/>
    <x v="6"/>
    <n v="2300"/>
    <n v="34500"/>
  </r>
  <r>
    <n v="137"/>
    <x v="4"/>
    <x v="0"/>
    <x v="3"/>
    <x v="18"/>
    <x v="4"/>
    <x v="2"/>
    <n v="4000"/>
    <n v="64000"/>
  </r>
  <r>
    <n v="138"/>
    <x v="4"/>
    <x v="0"/>
    <x v="3"/>
    <x v="18"/>
    <x v="5"/>
    <x v="1"/>
    <n v="8000"/>
    <n v="72000"/>
  </r>
  <r>
    <n v="139"/>
    <x v="5"/>
    <x v="2"/>
    <x v="3"/>
    <x v="19"/>
    <x v="0"/>
    <x v="3"/>
    <n v="150"/>
    <n v="1950"/>
  </r>
  <r>
    <n v="140"/>
    <x v="5"/>
    <x v="2"/>
    <x v="3"/>
    <x v="19"/>
    <x v="1"/>
    <x v="5"/>
    <n v="350"/>
    <n v="3850"/>
  </r>
  <r>
    <n v="141"/>
    <x v="5"/>
    <x v="2"/>
    <x v="3"/>
    <x v="19"/>
    <x v="2"/>
    <x v="3"/>
    <n v="1800"/>
    <n v="23400"/>
  </r>
  <r>
    <n v="142"/>
    <x v="5"/>
    <x v="2"/>
    <x v="3"/>
    <x v="19"/>
    <x v="3"/>
    <x v="4"/>
    <n v="2300"/>
    <n v="32200"/>
  </r>
  <r>
    <n v="143"/>
    <x v="5"/>
    <x v="2"/>
    <x v="3"/>
    <x v="19"/>
    <x v="4"/>
    <x v="3"/>
    <n v="4000"/>
    <n v="52000"/>
  </r>
  <r>
    <n v="144"/>
    <x v="5"/>
    <x v="2"/>
    <x v="3"/>
    <x v="19"/>
    <x v="5"/>
    <x v="1"/>
    <n v="8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F6:G13" firstHeaderRow="1" firstDataRow="1" firstDataCol="1"/>
  <pivotFields count="9">
    <pivotField showAll="0"/>
    <pivotField showAll="0">
      <items count="7">
        <item x="5"/>
        <item x="1"/>
        <item x="4"/>
        <item x="3"/>
        <item x="2"/>
        <item x="0"/>
        <item t="default"/>
      </items>
    </pivotField>
    <pivotField showAll="0">
      <items count="4">
        <item x="1"/>
        <item x="2"/>
        <item x="0"/>
        <item t="default"/>
      </items>
    </pivotField>
    <pivotField showAll="0">
      <items count="5">
        <item x="0"/>
        <item x="1"/>
        <item x="2"/>
        <item x="3"/>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7">
        <item x="1"/>
        <item x="5"/>
        <item x="4"/>
        <item x="0"/>
        <item x="2"/>
        <item x="3"/>
        <item t="default"/>
      </items>
    </pivotField>
    <pivotField dataField="1" showAll="0"/>
    <pivotField showAll="0"/>
    <pivotField showAll="0"/>
  </pivotFields>
  <rowFields count="1">
    <field x="5"/>
  </rowFields>
  <rowItems count="7">
    <i>
      <x/>
    </i>
    <i>
      <x v="1"/>
    </i>
    <i>
      <x v="2"/>
    </i>
    <i>
      <x v="3"/>
    </i>
    <i>
      <x v="4"/>
    </i>
    <i>
      <x v="5"/>
    </i>
    <i t="grand">
      <x/>
    </i>
  </rowItems>
  <colItems count="1">
    <i/>
  </colItems>
  <dataFields count="1">
    <dataField name="Sum of Qty" fld="6" baseField="0" baseItem="0"/>
  </dataFields>
  <formats count="24">
    <format dxfId="23">
      <pivotArea collapsedLevelsAreSubtotals="1" fieldPosition="0">
        <references count="1">
          <reference field="5" count="0"/>
        </references>
      </pivotArea>
    </format>
    <format dxfId="22">
      <pivotArea collapsedLevelsAreSubtotals="1" fieldPosition="0">
        <references count="1">
          <reference field="5" count="0"/>
        </references>
      </pivotArea>
    </format>
    <format dxfId="21">
      <pivotArea grandRow="1" outline="0" collapsedLevelsAreSubtotals="1" fieldPosition="0"/>
    </format>
    <format dxfId="20">
      <pivotArea grandRow="1" outline="0" collapsedLevelsAreSubtotals="1" fieldPosition="0"/>
    </format>
    <format dxfId="19">
      <pivotArea type="all" dataOnly="0" outline="0" fieldPosition="0"/>
    </format>
    <format dxfId="18">
      <pivotArea outline="0" collapsedLevelsAreSubtotals="1" fieldPosition="0"/>
    </format>
    <format dxfId="17">
      <pivotArea field="5" type="button" dataOnly="0" labelOnly="1" outline="0" axis="axisRow" fieldPosition="0"/>
    </format>
    <format dxfId="16">
      <pivotArea dataOnly="0" labelOnly="1" outline="0" axis="axisValues" fieldPosition="0"/>
    </format>
    <format dxfId="15">
      <pivotArea dataOnly="0" labelOnly="1" fieldPosition="0">
        <references count="1">
          <reference field="5" count="0"/>
        </references>
      </pivotArea>
    </format>
    <format dxfId="14">
      <pivotArea dataOnly="0" labelOnly="1" grandRow="1" outline="0" fieldPosition="0"/>
    </format>
    <format dxfId="13">
      <pivotArea field="5" type="button" dataOnly="0" labelOnly="1" outline="0" axis="axisRow"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outline="0" axis="axisValues" fieldPosition="0"/>
    </format>
    <format dxfId="7">
      <pivotArea dataOnly="0" labelOnly="1" fieldPosition="0">
        <references count="1">
          <reference field="5" count="0"/>
        </references>
      </pivotArea>
    </format>
    <format dxfId="6">
      <pivotArea dataOnly="0" labelOnly="1" grandRow="1" outline="0" fieldPosition="0"/>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outline="0" axis="axisValues" fieldPosition="0"/>
    </format>
    <format dxfId="1">
      <pivotArea dataOnly="0" labelOnly="1" fieldPosition="0">
        <references count="1">
          <reference field="5" count="0"/>
        </references>
      </pivotArea>
    </format>
    <format dxfId="0">
      <pivotArea dataOnly="0" labelOnly="1" grandRow="1" outline="0" fieldPosition="0"/>
    </format>
  </formats>
  <chartFormats count="10">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5" format="29">
      <pivotArea type="data" outline="0" fieldPosition="0">
        <references count="2">
          <reference field="4294967294" count="1" selected="0">
            <x v="0"/>
          </reference>
          <reference field="5" count="1" selected="0">
            <x v="0"/>
          </reference>
        </references>
      </pivotArea>
    </chartFormat>
    <chartFormat chart="5" format="30">
      <pivotArea type="data" outline="0" fieldPosition="0">
        <references count="2">
          <reference field="4294967294" count="1" selected="0">
            <x v="0"/>
          </reference>
          <reference field="5" count="1" selected="0">
            <x v="1"/>
          </reference>
        </references>
      </pivotArea>
    </chartFormat>
    <chartFormat chart="5" format="31">
      <pivotArea type="data" outline="0" fieldPosition="0">
        <references count="2">
          <reference field="4294967294" count="1" selected="0">
            <x v="0"/>
          </reference>
          <reference field="5" count="1" selected="0">
            <x v="2"/>
          </reference>
        </references>
      </pivotArea>
    </chartFormat>
    <chartFormat chart="5" format="32">
      <pivotArea type="data" outline="0" fieldPosition="0">
        <references count="2">
          <reference field="4294967294" count="1" selected="0">
            <x v="0"/>
          </reference>
          <reference field="5" count="1" selected="0">
            <x v="3"/>
          </reference>
        </references>
      </pivotArea>
    </chartFormat>
    <chartFormat chart="5" format="33">
      <pivotArea type="data" outline="0" fieldPosition="0">
        <references count="2">
          <reference field="4294967294" count="1" selected="0">
            <x v="0"/>
          </reference>
          <reference field="5" count="1" selected="0">
            <x v="4"/>
          </reference>
        </references>
      </pivotArea>
    </chartFormat>
    <chartFormat chart="5" format="34">
      <pivotArea type="data" outline="0" fieldPosition="0">
        <references count="2">
          <reference field="4294967294" count="1" selected="0">
            <x v="0"/>
          </reference>
          <reference field="5" count="1" selected="0">
            <x v="5"/>
          </reference>
        </references>
      </pivotArea>
    </chartFormat>
  </chartFormats>
  <pivotTableStyleInfo name="PivotStyleMedium9" showRowHeaders="1" showColHeaders="1" showRowStripes="0" showColStripes="0" showLastColumn="1"/>
  <filters count="1">
    <filter fld="4" type="dateBetween" evalOrder="-1" id="40" name="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B17:B18" firstHeaderRow="1" firstDataRow="1" firstDataCol="0"/>
  <pivotFields count="9">
    <pivotField showAll="0"/>
    <pivotField showAll="0">
      <items count="7">
        <item x="5"/>
        <item x="1"/>
        <item x="4"/>
        <item x="3"/>
        <item x="2"/>
        <item x="0"/>
        <item t="default"/>
      </items>
    </pivotField>
    <pivotField showAll="0">
      <items count="4">
        <item x="1"/>
        <item x="2"/>
        <item x="0"/>
        <item t="default"/>
      </items>
    </pivotField>
    <pivotField showAll="0">
      <items count="5">
        <item x="0"/>
        <item x="1"/>
        <item x="2"/>
        <item x="3"/>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s>
  <rowItems count="1">
    <i/>
  </rowItems>
  <colItems count="1">
    <i/>
  </colItems>
  <dataFields count="1">
    <dataField name="Sum of Total" fld="8" baseField="0" baseItem="0"/>
  </dataFields>
  <formats count="12">
    <format dxfId="35">
      <pivotArea type="all" dataOnly="0" outline="0" fieldPosition="0"/>
    </format>
    <format dxfId="34">
      <pivotArea outline="0" collapsedLevelsAreSubtotals="1" fieldPosition="0"/>
    </format>
    <format dxfId="33">
      <pivotArea dataOnly="0" labelOnly="1" outline="0" axis="axisValues" fieldPosition="0"/>
    </format>
    <format dxfId="32">
      <pivotArea outline="0" collapsedLevelsAreSubtotals="1"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Medium9" showRowHeaders="1" showColHeaders="1" showRowStripes="0" showColStripes="0" showLastColumn="1"/>
  <filters count="1">
    <filter fld="4" type="dateBetween" evalOrder="-1" id="40" name="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0">
  <location ref="B8:C13" firstHeaderRow="1" firstDataRow="1" firstDataCol="1" rowPageCount="1" colPageCount="1"/>
  <pivotFields count="9">
    <pivotField showAll="0"/>
    <pivotField axis="axisPage" showAll="0">
      <items count="7">
        <item x="5"/>
        <item x="1"/>
        <item x="4"/>
        <item x="3"/>
        <item x="2"/>
        <item x="0"/>
        <item t="default"/>
      </items>
    </pivotField>
    <pivotField showAll="0">
      <items count="4">
        <item x="1"/>
        <item x="2"/>
        <item x="0"/>
        <item t="default"/>
      </items>
    </pivotField>
    <pivotField axis="axisRow" showAll="0">
      <items count="5">
        <item x="0"/>
        <item x="1"/>
        <item x="2"/>
        <item x="3"/>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s>
  <rowFields count="1">
    <field x="3"/>
  </rowFields>
  <rowItems count="5">
    <i>
      <x/>
    </i>
    <i>
      <x v="1"/>
    </i>
    <i>
      <x v="2"/>
    </i>
    <i>
      <x v="3"/>
    </i>
    <i t="grand">
      <x/>
    </i>
  </rowItems>
  <colItems count="1">
    <i/>
  </colItems>
  <pageFields count="1">
    <pageField fld="1" hier="-1"/>
  </pageFields>
  <dataFields count="1">
    <dataField name="Sum of Total" fld="8" baseField="0" baseItem="0"/>
  </dataFields>
  <formats count="26">
    <format dxfId="61">
      <pivotArea collapsedLevelsAreSubtotals="1" fieldPosition="0">
        <references count="1">
          <reference field="3" count="0"/>
        </references>
      </pivotArea>
    </format>
    <format dxfId="60">
      <pivotArea collapsedLevelsAreSubtotals="1" fieldPosition="0">
        <references count="1">
          <reference field="3" count="0"/>
        </references>
      </pivotArea>
    </format>
    <format dxfId="59">
      <pivotArea collapsedLevelsAreSubtotals="1" fieldPosition="0">
        <references count="1">
          <reference field="3" count="0"/>
        </references>
      </pivotArea>
    </format>
    <format dxfId="58">
      <pivotArea grandRow="1" outline="0" collapsedLevelsAreSubtotals="1" fieldPosition="0"/>
    </format>
    <format dxfId="57">
      <pivotArea grandRow="1" outline="0" collapsedLevelsAreSubtotals="1" fieldPosition="0"/>
    </format>
    <format dxfId="56">
      <pivotArea grandRow="1" outline="0" collapsedLevelsAreSubtotals="1" fieldPosition="0"/>
    </format>
    <format dxfId="55">
      <pivotArea type="all" dataOnly="0" outline="0" fieldPosition="0"/>
    </format>
    <format dxfId="54">
      <pivotArea outline="0" collapsedLevelsAreSubtotals="1" fieldPosition="0"/>
    </format>
    <format dxfId="53">
      <pivotArea field="3" type="button" dataOnly="0" labelOnly="1" outline="0" axis="axisRow" fieldPosition="0"/>
    </format>
    <format dxfId="52">
      <pivotArea dataOnly="0" labelOnly="1" outline="0" axis="axisValues" fieldPosition="0"/>
    </format>
    <format dxfId="51">
      <pivotArea dataOnly="0" labelOnly="1" fieldPosition="0">
        <references count="1">
          <reference field="3" count="0"/>
        </references>
      </pivotArea>
    </format>
    <format dxfId="50">
      <pivotArea dataOnly="0" labelOnly="1" grandRow="1" outline="0" fieldPosition="0"/>
    </format>
    <format dxfId="49">
      <pivotArea field="3" type="button" dataOnly="0" labelOnly="1" outline="0" axis="axisRow"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outline="0" axis="axisValues" fieldPosition="0"/>
    </format>
    <format dxfId="43">
      <pivotArea dataOnly="0" labelOnly="1" fieldPosition="0">
        <references count="1">
          <reference field="3" count="0"/>
        </references>
      </pivotArea>
    </format>
    <format dxfId="42">
      <pivotArea dataOnly="0" labelOnly="1" grandRow="1" outline="0" fieldPosition="0"/>
    </format>
    <format dxfId="41">
      <pivotArea type="all" dataOnly="0" outline="0" fieldPosition="0"/>
    </format>
    <format dxfId="40">
      <pivotArea outline="0" collapsedLevelsAreSubtotals="1" fieldPosition="0"/>
    </format>
    <format dxfId="39">
      <pivotArea field="3" type="button" dataOnly="0" labelOnly="1" outline="0" axis="axisRow" fieldPosition="0"/>
    </format>
    <format dxfId="38">
      <pivotArea dataOnly="0" labelOnly="1" outline="0" axis="axisValues" fieldPosition="0"/>
    </format>
    <format dxfId="37">
      <pivotArea dataOnly="0" labelOnly="1" fieldPosition="0">
        <references count="1">
          <reference field="3" count="0"/>
        </references>
      </pivotArea>
    </format>
    <format dxfId="36">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4" type="dateBetween" evalOrder="-1" id="40" name="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6">
  <location ref="F17:G21" firstHeaderRow="1" firstDataRow="1" firstDataCol="1"/>
  <pivotFields count="9">
    <pivotField showAll="0"/>
    <pivotField showAll="0">
      <items count="7">
        <item x="5"/>
        <item x="1"/>
        <item x="4"/>
        <item x="3"/>
        <item x="2"/>
        <item x="0"/>
        <item t="default"/>
      </items>
    </pivotField>
    <pivotField axis="axisRow" showAll="0">
      <items count="4">
        <item x="1"/>
        <item x="2"/>
        <item x="0"/>
        <item t="default"/>
      </items>
    </pivotField>
    <pivotField showAll="0">
      <items count="5">
        <item x="0"/>
        <item x="1"/>
        <item x="2"/>
        <item x="3"/>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s>
  <rowFields count="1">
    <field x="2"/>
  </rowFields>
  <rowItems count="4">
    <i>
      <x/>
    </i>
    <i>
      <x v="1"/>
    </i>
    <i>
      <x v="2"/>
    </i>
    <i t="grand">
      <x/>
    </i>
  </rowItems>
  <colItems count="1">
    <i/>
  </colItems>
  <dataFields count="1">
    <dataField name="Sum of Total" fld="8" baseField="0" baseItem="0"/>
  </dataFields>
  <formats count="22">
    <format dxfId="83">
      <pivotArea collapsedLevelsAreSubtotals="1" fieldPosition="0">
        <references count="1">
          <reference field="2" count="0"/>
        </references>
      </pivotArea>
    </format>
    <format dxfId="82">
      <pivotArea collapsedLevelsAreSubtotals="1" fieldPosition="0">
        <references count="1">
          <reference field="2" count="0"/>
        </references>
      </pivotArea>
    </format>
    <format dxfId="81">
      <pivotArea collapsedLevelsAreSubtotals="1" fieldPosition="0">
        <references count="1">
          <reference field="2" count="0"/>
        </references>
      </pivotArea>
    </format>
    <format dxfId="80">
      <pivotArea grandRow="1" outline="0" collapsedLevelsAreSubtotals="1" fieldPosition="0"/>
    </format>
    <format dxfId="79">
      <pivotArea grandRow="1" outline="0" collapsedLevelsAreSubtotals="1" fieldPosition="0"/>
    </format>
    <format dxfId="78">
      <pivotArea grandRow="1" outline="0" collapsedLevelsAreSubtotals="1" fieldPosition="0"/>
    </format>
    <format dxfId="77">
      <pivotArea type="all" dataOnly="0" outline="0" fieldPosition="0"/>
    </format>
    <format dxfId="76">
      <pivotArea outline="0" collapsedLevelsAreSubtotals="1" fieldPosition="0"/>
    </format>
    <format dxfId="75">
      <pivotArea field="2" type="button" dataOnly="0" labelOnly="1" outline="0" axis="axisRow" fieldPosition="0"/>
    </format>
    <format dxfId="74">
      <pivotArea dataOnly="0" labelOnly="1" outline="0" axis="axisValues" fieldPosition="0"/>
    </format>
    <format dxfId="73">
      <pivotArea dataOnly="0" labelOnly="1" fieldPosition="0">
        <references count="1">
          <reference field="2" count="0"/>
        </references>
      </pivotArea>
    </format>
    <format dxfId="72">
      <pivotArea dataOnly="0" labelOnly="1" grandRow="1" outline="0" fieldPosition="0"/>
    </format>
    <format dxfId="71">
      <pivotArea field="2" type="button" dataOnly="0" labelOnly="1" outline="0" axis="axisRow" fieldPosition="0"/>
    </format>
    <format dxfId="70">
      <pivotArea dataOnly="0" labelOnly="1" outline="0" axis="axisValues" fieldPosition="0"/>
    </format>
    <format dxfId="69">
      <pivotArea dataOnly="0" outline="0" axis="axisValues" fieldPosition="0"/>
    </format>
    <format dxfId="68">
      <pivotArea dataOnly="0" outline="0" axis="axisValues" fieldPosition="0"/>
    </format>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outline="0" axis="axisValues" fieldPosition="0"/>
    </format>
    <format dxfId="63">
      <pivotArea dataOnly="0" labelOnly="1" fieldPosition="0">
        <references count="1">
          <reference field="2" count="0"/>
        </references>
      </pivotArea>
    </format>
    <format dxfId="62">
      <pivotArea dataOnly="0" labelOnly="1" grandRow="1" outline="0" fieldPosition="0"/>
    </format>
  </format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4" type="dateBetween" evalOrder="-1" id="40" name="Date">
      <autoFilter ref="A1">
        <filterColumn colId="0">
          <customFilters and="1">
            <customFilter operator="greaterThanOrEqual" val="4565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ller" sourceName="Seller">
  <pivotTables>
    <pivotTable tabId="1" name="PivotTable1"/>
    <pivotTable tabId="1" name="PivotTable2"/>
    <pivotTable tabId="1" name="PivotTable3"/>
    <pivotTable tabId="1" name="PivotTable4"/>
  </pivotTables>
  <data>
    <tabular pivotCacheId="3">
      <items count="6">
        <i x="5" s="1"/>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 name="PivotTable1"/>
    <pivotTable tabId="1" name="PivotTable2"/>
    <pivotTable tabId="1" name="PivotTable3"/>
    <pivotTable tabId="1" name="PivotTable4"/>
  </pivotTables>
  <data>
    <tabular pivotCacheId="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1" name="PivotTable1"/>
    <pivotTable tabId="1" name="PivotTable2"/>
    <pivotTable tabId="1" name="PivotTable3"/>
    <pivotTable tabId="1" name="PivotTable4"/>
  </pivotTables>
  <data>
    <tabular pivotCacheId="3">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ller" cache="Slicer_Seller" caption="Seller" rowHeight="241300"/>
  <slicer name="City" cache="Slicer_City" caption="City" rowHeight="241300"/>
  <slicer name="Item" cache="Slicer_Item" caption="Item" rowHeight="241300"/>
</slicers>
</file>

<file path=xl/tables/table1.xml><?xml version="1.0" encoding="utf-8"?>
<table xmlns="http://schemas.openxmlformats.org/spreadsheetml/2006/main" id="1" name="Table1" displayName="Table1" ref="A1:I145" totalsRowShown="0" headerRowDxfId="97" dataDxfId="95" headerRowBorderDxfId="96" tableBorderDxfId="94" totalsRowBorderDxfId="93">
  <autoFilter ref="A1:I145"/>
  <tableColumns count="9">
    <tableColumn id="1" name="S.N" dataDxfId="92"/>
    <tableColumn id="2" name="Seller" dataDxfId="91"/>
    <tableColumn id="3" name="Region/ City" dataDxfId="90"/>
    <tableColumn id="9" name="Months" dataDxfId="89"/>
    <tableColumn id="4" name="Date" dataDxfId="88"/>
    <tableColumn id="5" name="Product/Item" dataDxfId="87"/>
    <tableColumn id="6" name="Qty" dataDxfId="86"/>
    <tableColumn id="7" name="Rate" dataDxfId="85"/>
    <tableColumn id="8" name="Total" dataDxfId="84">
      <calculatedColumnFormula>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 name="PivotTable1"/>
    <pivotTable tabId="1" name="PivotTable2"/>
    <pivotTable tabId="1" name="PivotTable3"/>
    <pivotTable tabId="1" name="PivotTable4"/>
  </pivotTables>
  <state minimalRefreshVersion="6" lastRefreshVersion="6" pivotCacheId="3" filterType="dateBetween">
    <selection startDate="2025-01-01T00:00:00" endDate="2025-04-30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showHeader="0"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tabSelected="1" zoomScale="90" zoomScaleNormal="90" workbookViewId="0">
      <pane ySplit="1" topLeftCell="A32" activePane="bottomLeft" state="frozen"/>
      <selection pane="bottomLeft" activeCell="J8" sqref="J8"/>
    </sheetView>
  </sheetViews>
  <sheetFormatPr defaultRowHeight="15" x14ac:dyDescent="0.25"/>
  <cols>
    <col min="1" max="1" width="9.140625" style="1"/>
    <col min="2" max="2" width="19.28515625" style="2" bestFit="1" customWidth="1"/>
    <col min="3" max="3" width="16.85546875" style="1" bestFit="1" customWidth="1"/>
    <col min="4" max="4" width="10.28515625" style="1" customWidth="1"/>
    <col min="5" max="5" width="11.5703125" style="1" bestFit="1" customWidth="1"/>
    <col min="6" max="6" width="17.5703125" style="1" customWidth="1"/>
    <col min="7" max="9" width="9.140625" style="1"/>
  </cols>
  <sheetData>
    <row r="1" spans="1:9" x14ac:dyDescent="0.25">
      <c r="A1" s="15" t="s">
        <v>25</v>
      </c>
      <c r="B1" s="14" t="s">
        <v>24</v>
      </c>
      <c r="C1" s="14" t="s">
        <v>32</v>
      </c>
      <c r="D1" s="14" t="s">
        <v>23</v>
      </c>
      <c r="E1" s="14" t="s">
        <v>22</v>
      </c>
      <c r="F1" s="14" t="s">
        <v>31</v>
      </c>
      <c r="G1" s="14" t="s">
        <v>21</v>
      </c>
      <c r="H1" s="14" t="s">
        <v>20</v>
      </c>
      <c r="I1" s="13" t="s">
        <v>19</v>
      </c>
    </row>
    <row r="2" spans="1:9" x14ac:dyDescent="0.25">
      <c r="A2" s="12">
        <v>1</v>
      </c>
      <c r="B2" s="11" t="s">
        <v>15</v>
      </c>
      <c r="C2" s="6" t="s">
        <v>9</v>
      </c>
      <c r="D2" s="6" t="s">
        <v>18</v>
      </c>
      <c r="E2" s="10">
        <v>45658</v>
      </c>
      <c r="F2" s="6" t="s">
        <v>8</v>
      </c>
      <c r="G2" s="6">
        <v>4</v>
      </c>
      <c r="H2" s="6">
        <v>150</v>
      </c>
      <c r="I2" s="9">
        <f t="shared" ref="I2:I33" si="0">G2*H2</f>
        <v>600</v>
      </c>
    </row>
    <row r="3" spans="1:9" x14ac:dyDescent="0.25">
      <c r="A3" s="12">
        <v>2</v>
      </c>
      <c r="B3" s="11" t="s">
        <v>15</v>
      </c>
      <c r="C3" s="6" t="s">
        <v>9</v>
      </c>
      <c r="D3" s="6" t="s">
        <v>18</v>
      </c>
      <c r="E3" s="10">
        <v>45658</v>
      </c>
      <c r="F3" s="6" t="s">
        <v>7</v>
      </c>
      <c r="G3" s="6">
        <v>9</v>
      </c>
      <c r="H3" s="6">
        <v>350</v>
      </c>
      <c r="I3" s="9">
        <f t="shared" si="0"/>
        <v>3150</v>
      </c>
    </row>
    <row r="4" spans="1:9" x14ac:dyDescent="0.25">
      <c r="A4" s="12">
        <v>3</v>
      </c>
      <c r="B4" s="11" t="s">
        <v>15</v>
      </c>
      <c r="C4" s="6" t="s">
        <v>9</v>
      </c>
      <c r="D4" s="6" t="s">
        <v>18</v>
      </c>
      <c r="E4" s="10">
        <v>45658</v>
      </c>
      <c r="F4" s="6" t="s">
        <v>6</v>
      </c>
      <c r="G4" s="6">
        <v>4</v>
      </c>
      <c r="H4" s="6">
        <v>1800</v>
      </c>
      <c r="I4" s="9">
        <f t="shared" si="0"/>
        <v>7200</v>
      </c>
    </row>
    <row r="5" spans="1:9" x14ac:dyDescent="0.25">
      <c r="A5" s="12">
        <v>4</v>
      </c>
      <c r="B5" s="11" t="s">
        <v>15</v>
      </c>
      <c r="C5" s="6" t="s">
        <v>9</v>
      </c>
      <c r="D5" s="6" t="s">
        <v>18</v>
      </c>
      <c r="E5" s="10">
        <v>45658</v>
      </c>
      <c r="F5" s="6" t="s">
        <v>5</v>
      </c>
      <c r="G5" s="6">
        <v>16</v>
      </c>
      <c r="H5" s="6">
        <v>2300</v>
      </c>
      <c r="I5" s="9">
        <f t="shared" si="0"/>
        <v>36800</v>
      </c>
    </row>
    <row r="6" spans="1:9" x14ac:dyDescent="0.25">
      <c r="A6" s="12">
        <v>5</v>
      </c>
      <c r="B6" s="11" t="s">
        <v>15</v>
      </c>
      <c r="C6" s="6" t="s">
        <v>9</v>
      </c>
      <c r="D6" s="6" t="s">
        <v>18</v>
      </c>
      <c r="E6" s="10">
        <v>45658</v>
      </c>
      <c r="F6" s="6" t="s">
        <v>4</v>
      </c>
      <c r="G6" s="6">
        <v>13</v>
      </c>
      <c r="H6" s="6">
        <v>4000</v>
      </c>
      <c r="I6" s="9">
        <f t="shared" si="0"/>
        <v>52000</v>
      </c>
    </row>
    <row r="7" spans="1:9" x14ac:dyDescent="0.25">
      <c r="A7" s="12">
        <v>6</v>
      </c>
      <c r="B7" s="11" t="s">
        <v>15</v>
      </c>
      <c r="C7" s="6" t="s">
        <v>9</v>
      </c>
      <c r="D7" s="6" t="s">
        <v>18</v>
      </c>
      <c r="E7" s="10">
        <v>45658</v>
      </c>
      <c r="F7" s="6" t="s">
        <v>0</v>
      </c>
      <c r="G7" s="6">
        <v>9</v>
      </c>
      <c r="H7" s="6">
        <v>8000</v>
      </c>
      <c r="I7" s="9">
        <f t="shared" si="0"/>
        <v>72000</v>
      </c>
    </row>
    <row r="8" spans="1:9" x14ac:dyDescent="0.25">
      <c r="A8" s="12">
        <v>7</v>
      </c>
      <c r="B8" s="11" t="s">
        <v>13</v>
      </c>
      <c r="C8" s="6" t="s">
        <v>12</v>
      </c>
      <c r="D8" s="6" t="s">
        <v>18</v>
      </c>
      <c r="E8" s="10">
        <v>45659</v>
      </c>
      <c r="F8" s="6" t="s">
        <v>8</v>
      </c>
      <c r="G8" s="6">
        <v>14</v>
      </c>
      <c r="H8" s="6">
        <v>150</v>
      </c>
      <c r="I8" s="9">
        <f t="shared" si="0"/>
        <v>2100</v>
      </c>
    </row>
    <row r="9" spans="1:9" x14ac:dyDescent="0.25">
      <c r="A9" s="12">
        <v>8</v>
      </c>
      <c r="B9" s="11" t="s">
        <v>14</v>
      </c>
      <c r="C9" s="6" t="s">
        <v>12</v>
      </c>
      <c r="D9" s="6" t="s">
        <v>18</v>
      </c>
      <c r="E9" s="10">
        <v>45659</v>
      </c>
      <c r="F9" s="6" t="s">
        <v>8</v>
      </c>
      <c r="G9" s="6">
        <v>13</v>
      </c>
      <c r="H9" s="6">
        <v>150</v>
      </c>
      <c r="I9" s="9">
        <f t="shared" si="0"/>
        <v>1950</v>
      </c>
    </row>
    <row r="10" spans="1:9" x14ac:dyDescent="0.25">
      <c r="A10" s="12">
        <v>9</v>
      </c>
      <c r="B10" s="11" t="s">
        <v>13</v>
      </c>
      <c r="C10" s="6" t="s">
        <v>12</v>
      </c>
      <c r="D10" s="6" t="s">
        <v>18</v>
      </c>
      <c r="E10" s="10">
        <v>45659</v>
      </c>
      <c r="F10" s="6" t="s">
        <v>7</v>
      </c>
      <c r="G10" s="6">
        <v>14</v>
      </c>
      <c r="H10" s="6">
        <v>350</v>
      </c>
      <c r="I10" s="9">
        <f t="shared" si="0"/>
        <v>4900</v>
      </c>
    </row>
    <row r="11" spans="1:9" x14ac:dyDescent="0.25">
      <c r="A11" s="12">
        <v>10</v>
      </c>
      <c r="B11" s="11" t="s">
        <v>14</v>
      </c>
      <c r="C11" s="6" t="s">
        <v>12</v>
      </c>
      <c r="D11" s="6" t="s">
        <v>18</v>
      </c>
      <c r="E11" s="10">
        <v>45659</v>
      </c>
      <c r="F11" s="6" t="s">
        <v>7</v>
      </c>
      <c r="G11" s="6">
        <v>11</v>
      </c>
      <c r="H11" s="6">
        <v>350</v>
      </c>
      <c r="I11" s="9">
        <f t="shared" si="0"/>
        <v>3850</v>
      </c>
    </row>
    <row r="12" spans="1:9" x14ac:dyDescent="0.25">
      <c r="A12" s="12">
        <v>11</v>
      </c>
      <c r="B12" s="11" t="s">
        <v>13</v>
      </c>
      <c r="C12" s="6" t="s">
        <v>12</v>
      </c>
      <c r="D12" s="6" t="s">
        <v>18</v>
      </c>
      <c r="E12" s="10">
        <v>45659</v>
      </c>
      <c r="F12" s="6" t="s">
        <v>6</v>
      </c>
      <c r="G12" s="6">
        <v>15</v>
      </c>
      <c r="H12" s="6">
        <v>1800</v>
      </c>
      <c r="I12" s="9">
        <f t="shared" si="0"/>
        <v>27000</v>
      </c>
    </row>
    <row r="13" spans="1:9" x14ac:dyDescent="0.25">
      <c r="A13" s="12">
        <v>12</v>
      </c>
      <c r="B13" s="11" t="s">
        <v>14</v>
      </c>
      <c r="C13" s="6" t="s">
        <v>12</v>
      </c>
      <c r="D13" s="6" t="s">
        <v>18</v>
      </c>
      <c r="E13" s="10">
        <v>45659</v>
      </c>
      <c r="F13" s="6" t="s">
        <v>6</v>
      </c>
      <c r="G13" s="6">
        <v>7</v>
      </c>
      <c r="H13" s="6">
        <v>1800</v>
      </c>
      <c r="I13" s="9">
        <f t="shared" si="0"/>
        <v>12600</v>
      </c>
    </row>
    <row r="14" spans="1:9" x14ac:dyDescent="0.25">
      <c r="A14" s="12">
        <v>13</v>
      </c>
      <c r="B14" s="11" t="s">
        <v>13</v>
      </c>
      <c r="C14" s="6" t="s">
        <v>12</v>
      </c>
      <c r="D14" s="6" t="s">
        <v>18</v>
      </c>
      <c r="E14" s="10">
        <v>45659</v>
      </c>
      <c r="F14" s="6" t="s">
        <v>5</v>
      </c>
      <c r="G14" s="6">
        <v>7</v>
      </c>
      <c r="H14" s="6">
        <v>2300</v>
      </c>
      <c r="I14" s="9">
        <f t="shared" si="0"/>
        <v>16100</v>
      </c>
    </row>
    <row r="15" spans="1:9" x14ac:dyDescent="0.25">
      <c r="A15" s="12">
        <v>14</v>
      </c>
      <c r="B15" s="11" t="s">
        <v>14</v>
      </c>
      <c r="C15" s="6" t="s">
        <v>12</v>
      </c>
      <c r="D15" s="6" t="s">
        <v>18</v>
      </c>
      <c r="E15" s="10">
        <v>45659</v>
      </c>
      <c r="F15" s="6" t="s">
        <v>5</v>
      </c>
      <c r="G15" s="6">
        <v>13</v>
      </c>
      <c r="H15" s="6">
        <v>2300</v>
      </c>
      <c r="I15" s="9">
        <f t="shared" si="0"/>
        <v>29900</v>
      </c>
    </row>
    <row r="16" spans="1:9" x14ac:dyDescent="0.25">
      <c r="A16" s="12">
        <v>15</v>
      </c>
      <c r="B16" s="11" t="s">
        <v>13</v>
      </c>
      <c r="C16" s="6" t="s">
        <v>12</v>
      </c>
      <c r="D16" s="6" t="s">
        <v>18</v>
      </c>
      <c r="E16" s="10">
        <v>45659</v>
      </c>
      <c r="F16" s="6" t="s">
        <v>4</v>
      </c>
      <c r="G16" s="6">
        <v>10</v>
      </c>
      <c r="H16" s="6">
        <v>4000</v>
      </c>
      <c r="I16" s="9">
        <f t="shared" si="0"/>
        <v>40000</v>
      </c>
    </row>
    <row r="17" spans="1:9" x14ac:dyDescent="0.25">
      <c r="A17" s="12">
        <v>16</v>
      </c>
      <c r="B17" s="11" t="s">
        <v>14</v>
      </c>
      <c r="C17" s="6" t="s">
        <v>12</v>
      </c>
      <c r="D17" s="6" t="s">
        <v>18</v>
      </c>
      <c r="E17" s="10">
        <v>45659</v>
      </c>
      <c r="F17" s="6" t="s">
        <v>4</v>
      </c>
      <c r="G17" s="6">
        <v>4</v>
      </c>
      <c r="H17" s="6">
        <v>4000</v>
      </c>
      <c r="I17" s="9">
        <f t="shared" si="0"/>
        <v>16000</v>
      </c>
    </row>
    <row r="18" spans="1:9" x14ac:dyDescent="0.25">
      <c r="A18" s="12">
        <v>17</v>
      </c>
      <c r="B18" s="11" t="s">
        <v>14</v>
      </c>
      <c r="C18" s="6" t="s">
        <v>12</v>
      </c>
      <c r="D18" s="6" t="s">
        <v>18</v>
      </c>
      <c r="E18" s="10">
        <v>45659</v>
      </c>
      <c r="F18" s="6" t="s">
        <v>0</v>
      </c>
      <c r="G18" s="6">
        <v>13</v>
      </c>
      <c r="H18" s="6">
        <v>8000</v>
      </c>
      <c r="I18" s="9">
        <f t="shared" si="0"/>
        <v>104000</v>
      </c>
    </row>
    <row r="19" spans="1:9" x14ac:dyDescent="0.25">
      <c r="A19" s="12">
        <v>18</v>
      </c>
      <c r="B19" s="11" t="s">
        <v>13</v>
      </c>
      <c r="C19" s="6" t="s">
        <v>12</v>
      </c>
      <c r="D19" s="6" t="s">
        <v>18</v>
      </c>
      <c r="E19" s="10">
        <v>45659</v>
      </c>
      <c r="F19" s="6" t="s">
        <v>0</v>
      </c>
      <c r="G19" s="6">
        <v>12</v>
      </c>
      <c r="H19" s="6">
        <v>8000</v>
      </c>
      <c r="I19" s="9">
        <f t="shared" si="0"/>
        <v>96000</v>
      </c>
    </row>
    <row r="20" spans="1:9" x14ac:dyDescent="0.25">
      <c r="A20" s="12">
        <v>19</v>
      </c>
      <c r="B20" s="11" t="s">
        <v>11</v>
      </c>
      <c r="C20" s="6" t="s">
        <v>2</v>
      </c>
      <c r="D20" s="6" t="s">
        <v>18</v>
      </c>
      <c r="E20" s="10">
        <v>45660</v>
      </c>
      <c r="F20" s="6" t="s">
        <v>8</v>
      </c>
      <c r="G20" s="6">
        <v>4</v>
      </c>
      <c r="H20" s="6">
        <v>150</v>
      </c>
      <c r="I20" s="9">
        <f t="shared" si="0"/>
        <v>600</v>
      </c>
    </row>
    <row r="21" spans="1:9" x14ac:dyDescent="0.25">
      <c r="A21" s="12">
        <v>20</v>
      </c>
      <c r="B21" s="11" t="s">
        <v>11</v>
      </c>
      <c r="C21" s="6" t="s">
        <v>2</v>
      </c>
      <c r="D21" s="6" t="s">
        <v>18</v>
      </c>
      <c r="E21" s="10">
        <v>45660</v>
      </c>
      <c r="F21" s="6" t="s">
        <v>7</v>
      </c>
      <c r="G21" s="6">
        <v>12</v>
      </c>
      <c r="H21" s="6">
        <v>350</v>
      </c>
      <c r="I21" s="9">
        <f t="shared" si="0"/>
        <v>4200</v>
      </c>
    </row>
    <row r="22" spans="1:9" x14ac:dyDescent="0.25">
      <c r="A22" s="12">
        <v>21</v>
      </c>
      <c r="B22" s="11" t="s">
        <v>11</v>
      </c>
      <c r="C22" s="6" t="s">
        <v>2</v>
      </c>
      <c r="D22" s="6" t="s">
        <v>18</v>
      </c>
      <c r="E22" s="10">
        <v>45660</v>
      </c>
      <c r="F22" s="6" t="s">
        <v>6</v>
      </c>
      <c r="G22" s="6">
        <v>5</v>
      </c>
      <c r="H22" s="6">
        <v>1800</v>
      </c>
      <c r="I22" s="9">
        <f t="shared" si="0"/>
        <v>9000</v>
      </c>
    </row>
    <row r="23" spans="1:9" x14ac:dyDescent="0.25">
      <c r="A23" s="12">
        <v>22</v>
      </c>
      <c r="B23" s="11" t="s">
        <v>11</v>
      </c>
      <c r="C23" s="6" t="s">
        <v>2</v>
      </c>
      <c r="D23" s="6" t="s">
        <v>18</v>
      </c>
      <c r="E23" s="10">
        <v>45660</v>
      </c>
      <c r="F23" s="6" t="s">
        <v>5</v>
      </c>
      <c r="G23" s="6">
        <v>10</v>
      </c>
      <c r="H23" s="6">
        <v>2300</v>
      </c>
      <c r="I23" s="9">
        <f t="shared" si="0"/>
        <v>23000</v>
      </c>
    </row>
    <row r="24" spans="1:9" x14ac:dyDescent="0.25">
      <c r="A24" s="12">
        <v>23</v>
      </c>
      <c r="B24" s="11" t="s">
        <v>11</v>
      </c>
      <c r="C24" s="6" t="s">
        <v>2</v>
      </c>
      <c r="D24" s="6" t="s">
        <v>18</v>
      </c>
      <c r="E24" s="10">
        <v>45660</v>
      </c>
      <c r="F24" s="6" t="s">
        <v>4</v>
      </c>
      <c r="G24" s="6">
        <v>10</v>
      </c>
      <c r="H24" s="6">
        <v>4000</v>
      </c>
      <c r="I24" s="9">
        <f t="shared" si="0"/>
        <v>40000</v>
      </c>
    </row>
    <row r="25" spans="1:9" x14ac:dyDescent="0.25">
      <c r="A25" s="12">
        <v>24</v>
      </c>
      <c r="B25" s="11" t="s">
        <v>11</v>
      </c>
      <c r="C25" s="6" t="s">
        <v>2</v>
      </c>
      <c r="D25" s="6" t="s">
        <v>18</v>
      </c>
      <c r="E25" s="10">
        <v>45660</v>
      </c>
      <c r="F25" s="6" t="s">
        <v>0</v>
      </c>
      <c r="G25" s="6">
        <v>10</v>
      </c>
      <c r="H25" s="6">
        <v>8000</v>
      </c>
      <c r="I25" s="9">
        <f t="shared" si="0"/>
        <v>80000</v>
      </c>
    </row>
    <row r="26" spans="1:9" x14ac:dyDescent="0.25">
      <c r="A26" s="12">
        <v>25</v>
      </c>
      <c r="B26" s="11" t="s">
        <v>10</v>
      </c>
      <c r="C26" s="6" t="s">
        <v>9</v>
      </c>
      <c r="D26" s="6" t="s">
        <v>18</v>
      </c>
      <c r="E26" s="10">
        <v>45661</v>
      </c>
      <c r="F26" s="6" t="s">
        <v>8</v>
      </c>
      <c r="G26" s="6">
        <v>11</v>
      </c>
      <c r="H26" s="6">
        <v>150</v>
      </c>
      <c r="I26" s="9">
        <f t="shared" si="0"/>
        <v>1650</v>
      </c>
    </row>
    <row r="27" spans="1:9" x14ac:dyDescent="0.25">
      <c r="A27" s="12">
        <v>26</v>
      </c>
      <c r="B27" s="11" t="s">
        <v>10</v>
      </c>
      <c r="C27" s="6" t="s">
        <v>9</v>
      </c>
      <c r="D27" s="6" t="s">
        <v>18</v>
      </c>
      <c r="E27" s="10">
        <v>45661</v>
      </c>
      <c r="F27" s="6" t="s">
        <v>7</v>
      </c>
      <c r="G27" s="6">
        <v>5</v>
      </c>
      <c r="H27" s="6">
        <v>350</v>
      </c>
      <c r="I27" s="9">
        <f t="shared" si="0"/>
        <v>1750</v>
      </c>
    </row>
    <row r="28" spans="1:9" x14ac:dyDescent="0.25">
      <c r="A28" s="12">
        <v>27</v>
      </c>
      <c r="B28" s="11" t="s">
        <v>10</v>
      </c>
      <c r="C28" s="6" t="s">
        <v>9</v>
      </c>
      <c r="D28" s="6" t="s">
        <v>18</v>
      </c>
      <c r="E28" s="10">
        <v>45661</v>
      </c>
      <c r="F28" s="6" t="s">
        <v>6</v>
      </c>
      <c r="G28" s="6">
        <v>14</v>
      </c>
      <c r="H28" s="6">
        <v>1800</v>
      </c>
      <c r="I28" s="9">
        <f t="shared" si="0"/>
        <v>25200</v>
      </c>
    </row>
    <row r="29" spans="1:9" x14ac:dyDescent="0.25">
      <c r="A29" s="12">
        <v>28</v>
      </c>
      <c r="B29" s="11" t="s">
        <v>10</v>
      </c>
      <c r="C29" s="6" t="s">
        <v>9</v>
      </c>
      <c r="D29" s="6" t="s">
        <v>18</v>
      </c>
      <c r="E29" s="10">
        <v>45661</v>
      </c>
      <c r="F29" s="6" t="s">
        <v>5</v>
      </c>
      <c r="G29" s="6">
        <v>6</v>
      </c>
      <c r="H29" s="6">
        <v>2300</v>
      </c>
      <c r="I29" s="9">
        <f t="shared" si="0"/>
        <v>13800</v>
      </c>
    </row>
    <row r="30" spans="1:9" x14ac:dyDescent="0.25">
      <c r="A30" s="12">
        <v>29</v>
      </c>
      <c r="B30" s="11" t="s">
        <v>10</v>
      </c>
      <c r="C30" s="6" t="s">
        <v>9</v>
      </c>
      <c r="D30" s="6" t="s">
        <v>18</v>
      </c>
      <c r="E30" s="10">
        <v>45661</v>
      </c>
      <c r="F30" s="6" t="s">
        <v>4</v>
      </c>
      <c r="G30" s="6">
        <v>14</v>
      </c>
      <c r="H30" s="6">
        <v>4000</v>
      </c>
      <c r="I30" s="9">
        <f t="shared" si="0"/>
        <v>56000</v>
      </c>
    </row>
    <row r="31" spans="1:9" x14ac:dyDescent="0.25">
      <c r="A31" s="12">
        <v>30</v>
      </c>
      <c r="B31" s="11" t="s">
        <v>10</v>
      </c>
      <c r="C31" s="6" t="s">
        <v>9</v>
      </c>
      <c r="D31" s="6" t="s">
        <v>18</v>
      </c>
      <c r="E31" s="10">
        <v>45661</v>
      </c>
      <c r="F31" s="6" t="s">
        <v>0</v>
      </c>
      <c r="G31" s="6">
        <v>14</v>
      </c>
      <c r="H31" s="6">
        <v>8000</v>
      </c>
      <c r="I31" s="9">
        <f t="shared" si="0"/>
        <v>112000</v>
      </c>
    </row>
    <row r="32" spans="1:9" x14ac:dyDescent="0.25">
      <c r="A32" s="12">
        <v>31</v>
      </c>
      <c r="B32" s="11" t="s">
        <v>3</v>
      </c>
      <c r="C32" s="6" t="s">
        <v>2</v>
      </c>
      <c r="D32" s="6" t="s">
        <v>18</v>
      </c>
      <c r="E32" s="10">
        <v>45662</v>
      </c>
      <c r="F32" s="6" t="s">
        <v>8</v>
      </c>
      <c r="G32" s="6">
        <v>9</v>
      </c>
      <c r="H32" s="6">
        <v>150</v>
      </c>
      <c r="I32" s="9">
        <f t="shared" si="0"/>
        <v>1350</v>
      </c>
    </row>
    <row r="33" spans="1:9" x14ac:dyDescent="0.25">
      <c r="A33" s="12">
        <v>32</v>
      </c>
      <c r="B33" s="11" t="s">
        <v>3</v>
      </c>
      <c r="C33" s="6" t="s">
        <v>2</v>
      </c>
      <c r="D33" s="6" t="s">
        <v>18</v>
      </c>
      <c r="E33" s="10">
        <v>45662</v>
      </c>
      <c r="F33" s="6" t="s">
        <v>7</v>
      </c>
      <c r="G33" s="6">
        <v>7</v>
      </c>
      <c r="H33" s="6">
        <v>350</v>
      </c>
      <c r="I33" s="9">
        <f t="shared" si="0"/>
        <v>2450</v>
      </c>
    </row>
    <row r="34" spans="1:9" x14ac:dyDescent="0.25">
      <c r="A34" s="12">
        <v>33</v>
      </c>
      <c r="B34" s="11" t="s">
        <v>3</v>
      </c>
      <c r="C34" s="6" t="s">
        <v>2</v>
      </c>
      <c r="D34" s="6" t="s">
        <v>18</v>
      </c>
      <c r="E34" s="10">
        <v>45662</v>
      </c>
      <c r="F34" s="6" t="s">
        <v>6</v>
      </c>
      <c r="G34" s="6">
        <v>7</v>
      </c>
      <c r="H34" s="6">
        <v>1800</v>
      </c>
      <c r="I34" s="9">
        <f t="shared" ref="I34:I65" si="1">G34*H34</f>
        <v>12600</v>
      </c>
    </row>
    <row r="35" spans="1:9" x14ac:dyDescent="0.25">
      <c r="A35" s="12">
        <v>34</v>
      </c>
      <c r="B35" s="11" t="s">
        <v>3</v>
      </c>
      <c r="C35" s="6" t="s">
        <v>2</v>
      </c>
      <c r="D35" s="6" t="s">
        <v>18</v>
      </c>
      <c r="E35" s="10">
        <v>45662</v>
      </c>
      <c r="F35" s="6" t="s">
        <v>5</v>
      </c>
      <c r="G35" s="6">
        <v>16</v>
      </c>
      <c r="H35" s="6">
        <v>2300</v>
      </c>
      <c r="I35" s="9">
        <f t="shared" si="1"/>
        <v>36800</v>
      </c>
    </row>
    <row r="36" spans="1:9" x14ac:dyDescent="0.25">
      <c r="A36" s="12">
        <v>35</v>
      </c>
      <c r="B36" s="11" t="s">
        <v>3</v>
      </c>
      <c r="C36" s="6" t="s">
        <v>2</v>
      </c>
      <c r="D36" s="6" t="s">
        <v>18</v>
      </c>
      <c r="E36" s="10">
        <v>45662</v>
      </c>
      <c r="F36" s="6" t="s">
        <v>4</v>
      </c>
      <c r="G36" s="6">
        <v>5</v>
      </c>
      <c r="H36" s="6">
        <v>4000</v>
      </c>
      <c r="I36" s="9">
        <f t="shared" si="1"/>
        <v>20000</v>
      </c>
    </row>
    <row r="37" spans="1:9" x14ac:dyDescent="0.25">
      <c r="A37" s="12">
        <v>36</v>
      </c>
      <c r="B37" s="11" t="s">
        <v>3</v>
      </c>
      <c r="C37" s="6" t="s">
        <v>2</v>
      </c>
      <c r="D37" s="6" t="s">
        <v>18</v>
      </c>
      <c r="E37" s="10">
        <v>45662</v>
      </c>
      <c r="F37" s="6" t="s">
        <v>0</v>
      </c>
      <c r="G37" s="6">
        <v>6</v>
      </c>
      <c r="H37" s="6">
        <v>8000</v>
      </c>
      <c r="I37" s="9">
        <f t="shared" si="1"/>
        <v>48000</v>
      </c>
    </row>
    <row r="38" spans="1:9" x14ac:dyDescent="0.25">
      <c r="A38" s="12">
        <v>37</v>
      </c>
      <c r="B38" s="11" t="s">
        <v>15</v>
      </c>
      <c r="C38" s="6" t="s">
        <v>9</v>
      </c>
      <c r="D38" s="6" t="s">
        <v>17</v>
      </c>
      <c r="E38" s="10">
        <v>45689</v>
      </c>
      <c r="F38" s="6" t="s">
        <v>8</v>
      </c>
      <c r="G38" s="6">
        <v>12</v>
      </c>
      <c r="H38" s="6">
        <v>150</v>
      </c>
      <c r="I38" s="9">
        <f t="shared" si="1"/>
        <v>1800</v>
      </c>
    </row>
    <row r="39" spans="1:9" x14ac:dyDescent="0.25">
      <c r="A39" s="12">
        <v>38</v>
      </c>
      <c r="B39" s="11" t="s">
        <v>15</v>
      </c>
      <c r="C39" s="6" t="s">
        <v>9</v>
      </c>
      <c r="D39" s="6" t="s">
        <v>17</v>
      </c>
      <c r="E39" s="10">
        <v>45689</v>
      </c>
      <c r="F39" s="6" t="s">
        <v>7</v>
      </c>
      <c r="G39" s="6">
        <v>4</v>
      </c>
      <c r="H39" s="6">
        <v>350</v>
      </c>
      <c r="I39" s="9">
        <f t="shared" si="1"/>
        <v>1400</v>
      </c>
    </row>
    <row r="40" spans="1:9" x14ac:dyDescent="0.25">
      <c r="A40" s="12">
        <v>39</v>
      </c>
      <c r="B40" s="11" t="s">
        <v>15</v>
      </c>
      <c r="C40" s="6" t="s">
        <v>9</v>
      </c>
      <c r="D40" s="6" t="s">
        <v>17</v>
      </c>
      <c r="E40" s="10">
        <v>45689</v>
      </c>
      <c r="F40" s="6" t="s">
        <v>6</v>
      </c>
      <c r="G40" s="6">
        <v>10</v>
      </c>
      <c r="H40" s="6">
        <v>1800</v>
      </c>
      <c r="I40" s="9">
        <f t="shared" si="1"/>
        <v>18000</v>
      </c>
    </row>
    <row r="41" spans="1:9" x14ac:dyDescent="0.25">
      <c r="A41" s="12">
        <v>40</v>
      </c>
      <c r="B41" s="11" t="s">
        <v>15</v>
      </c>
      <c r="C41" s="6" t="s">
        <v>9</v>
      </c>
      <c r="D41" s="6" t="s">
        <v>17</v>
      </c>
      <c r="E41" s="10">
        <v>45689</v>
      </c>
      <c r="F41" s="6" t="s">
        <v>5</v>
      </c>
      <c r="G41" s="6">
        <v>11</v>
      </c>
      <c r="H41" s="6">
        <v>2300</v>
      </c>
      <c r="I41" s="9">
        <f t="shared" si="1"/>
        <v>25300</v>
      </c>
    </row>
    <row r="42" spans="1:9" x14ac:dyDescent="0.25">
      <c r="A42" s="12">
        <v>41</v>
      </c>
      <c r="B42" s="11" t="s">
        <v>15</v>
      </c>
      <c r="C42" s="6" t="s">
        <v>9</v>
      </c>
      <c r="D42" s="6" t="s">
        <v>17</v>
      </c>
      <c r="E42" s="10">
        <v>45689</v>
      </c>
      <c r="F42" s="6" t="s">
        <v>4</v>
      </c>
      <c r="G42" s="6">
        <v>12</v>
      </c>
      <c r="H42" s="6">
        <v>4000</v>
      </c>
      <c r="I42" s="9">
        <f t="shared" si="1"/>
        <v>48000</v>
      </c>
    </row>
    <row r="43" spans="1:9" x14ac:dyDescent="0.25">
      <c r="A43" s="12">
        <v>42</v>
      </c>
      <c r="B43" s="11" t="s">
        <v>15</v>
      </c>
      <c r="C43" s="6" t="s">
        <v>9</v>
      </c>
      <c r="D43" s="6" t="s">
        <v>17</v>
      </c>
      <c r="E43" s="10">
        <v>45689</v>
      </c>
      <c r="F43" s="6" t="s">
        <v>0</v>
      </c>
      <c r="G43" s="6">
        <v>11</v>
      </c>
      <c r="H43" s="6">
        <v>8000</v>
      </c>
      <c r="I43" s="9">
        <f t="shared" si="1"/>
        <v>88000</v>
      </c>
    </row>
    <row r="44" spans="1:9" x14ac:dyDescent="0.25">
      <c r="A44" s="12">
        <v>43</v>
      </c>
      <c r="B44" s="11" t="s">
        <v>13</v>
      </c>
      <c r="C44" s="6" t="s">
        <v>12</v>
      </c>
      <c r="D44" s="6" t="s">
        <v>17</v>
      </c>
      <c r="E44" s="10">
        <v>45690</v>
      </c>
      <c r="F44" s="6" t="s">
        <v>8</v>
      </c>
      <c r="G44" s="6">
        <v>8</v>
      </c>
      <c r="H44" s="6">
        <v>150</v>
      </c>
      <c r="I44" s="9">
        <f t="shared" si="1"/>
        <v>1200</v>
      </c>
    </row>
    <row r="45" spans="1:9" x14ac:dyDescent="0.25">
      <c r="A45" s="12">
        <v>44</v>
      </c>
      <c r="B45" s="11" t="s">
        <v>14</v>
      </c>
      <c r="C45" s="6" t="s">
        <v>12</v>
      </c>
      <c r="D45" s="6" t="s">
        <v>17</v>
      </c>
      <c r="E45" s="10">
        <v>45690</v>
      </c>
      <c r="F45" s="6" t="s">
        <v>8</v>
      </c>
      <c r="G45" s="6">
        <v>12</v>
      </c>
      <c r="H45" s="6">
        <v>150</v>
      </c>
      <c r="I45" s="9">
        <f t="shared" si="1"/>
        <v>1800</v>
      </c>
    </row>
    <row r="46" spans="1:9" x14ac:dyDescent="0.25">
      <c r="A46" s="12">
        <v>45</v>
      </c>
      <c r="B46" s="11" t="s">
        <v>13</v>
      </c>
      <c r="C46" s="6" t="s">
        <v>12</v>
      </c>
      <c r="D46" s="6" t="s">
        <v>17</v>
      </c>
      <c r="E46" s="10">
        <v>45690</v>
      </c>
      <c r="F46" s="6" t="s">
        <v>7</v>
      </c>
      <c r="G46" s="6">
        <v>4</v>
      </c>
      <c r="H46" s="6">
        <v>350</v>
      </c>
      <c r="I46" s="9">
        <f t="shared" si="1"/>
        <v>1400</v>
      </c>
    </row>
    <row r="47" spans="1:9" x14ac:dyDescent="0.25">
      <c r="A47" s="12">
        <v>46</v>
      </c>
      <c r="B47" s="11" t="s">
        <v>14</v>
      </c>
      <c r="C47" s="6" t="s">
        <v>12</v>
      </c>
      <c r="D47" s="6" t="s">
        <v>17</v>
      </c>
      <c r="E47" s="10">
        <v>45690</v>
      </c>
      <c r="F47" s="6" t="s">
        <v>7</v>
      </c>
      <c r="G47" s="6">
        <v>16</v>
      </c>
      <c r="H47" s="6">
        <v>350</v>
      </c>
      <c r="I47" s="9">
        <f t="shared" si="1"/>
        <v>5600</v>
      </c>
    </row>
    <row r="48" spans="1:9" x14ac:dyDescent="0.25">
      <c r="A48" s="12">
        <v>47</v>
      </c>
      <c r="B48" s="11" t="s">
        <v>13</v>
      </c>
      <c r="C48" s="6" t="s">
        <v>12</v>
      </c>
      <c r="D48" s="6" t="s">
        <v>17</v>
      </c>
      <c r="E48" s="10">
        <v>45690</v>
      </c>
      <c r="F48" s="6" t="s">
        <v>6</v>
      </c>
      <c r="G48" s="6">
        <v>8</v>
      </c>
      <c r="H48" s="6">
        <v>1800</v>
      </c>
      <c r="I48" s="9">
        <f t="shared" si="1"/>
        <v>14400</v>
      </c>
    </row>
    <row r="49" spans="1:9" x14ac:dyDescent="0.25">
      <c r="A49" s="12">
        <v>48</v>
      </c>
      <c r="B49" s="11" t="s">
        <v>14</v>
      </c>
      <c r="C49" s="6" t="s">
        <v>12</v>
      </c>
      <c r="D49" s="6" t="s">
        <v>17</v>
      </c>
      <c r="E49" s="10">
        <v>45690</v>
      </c>
      <c r="F49" s="6" t="s">
        <v>6</v>
      </c>
      <c r="G49" s="6">
        <v>4</v>
      </c>
      <c r="H49" s="6">
        <v>1800</v>
      </c>
      <c r="I49" s="9">
        <f t="shared" si="1"/>
        <v>7200</v>
      </c>
    </row>
    <row r="50" spans="1:9" x14ac:dyDescent="0.25">
      <c r="A50" s="12">
        <v>49</v>
      </c>
      <c r="B50" s="11" t="s">
        <v>13</v>
      </c>
      <c r="C50" s="6" t="s">
        <v>12</v>
      </c>
      <c r="D50" s="6" t="s">
        <v>17</v>
      </c>
      <c r="E50" s="10">
        <v>45690</v>
      </c>
      <c r="F50" s="6" t="s">
        <v>5</v>
      </c>
      <c r="G50" s="6">
        <v>6</v>
      </c>
      <c r="H50" s="6">
        <v>2300</v>
      </c>
      <c r="I50" s="9">
        <f t="shared" si="1"/>
        <v>13800</v>
      </c>
    </row>
    <row r="51" spans="1:9" x14ac:dyDescent="0.25">
      <c r="A51" s="12">
        <v>50</v>
      </c>
      <c r="B51" s="11" t="s">
        <v>14</v>
      </c>
      <c r="C51" s="6" t="s">
        <v>12</v>
      </c>
      <c r="D51" s="6" t="s">
        <v>17</v>
      </c>
      <c r="E51" s="10">
        <v>45690</v>
      </c>
      <c r="F51" s="6" t="s">
        <v>5</v>
      </c>
      <c r="G51" s="6">
        <v>10</v>
      </c>
      <c r="H51" s="6">
        <v>2300</v>
      </c>
      <c r="I51" s="9">
        <f t="shared" si="1"/>
        <v>23000</v>
      </c>
    </row>
    <row r="52" spans="1:9" x14ac:dyDescent="0.25">
      <c r="A52" s="12">
        <v>51</v>
      </c>
      <c r="B52" s="11" t="s">
        <v>13</v>
      </c>
      <c r="C52" s="6" t="s">
        <v>12</v>
      </c>
      <c r="D52" s="6" t="s">
        <v>17</v>
      </c>
      <c r="E52" s="10">
        <v>45690</v>
      </c>
      <c r="F52" s="6" t="s">
        <v>4</v>
      </c>
      <c r="G52" s="6">
        <v>13</v>
      </c>
      <c r="H52" s="6">
        <v>4000</v>
      </c>
      <c r="I52" s="9">
        <f t="shared" si="1"/>
        <v>52000</v>
      </c>
    </row>
    <row r="53" spans="1:9" x14ac:dyDescent="0.25">
      <c r="A53" s="12">
        <v>52</v>
      </c>
      <c r="B53" s="11" t="s">
        <v>14</v>
      </c>
      <c r="C53" s="6" t="s">
        <v>12</v>
      </c>
      <c r="D53" s="6" t="s">
        <v>17</v>
      </c>
      <c r="E53" s="10">
        <v>45690</v>
      </c>
      <c r="F53" s="6" t="s">
        <v>4</v>
      </c>
      <c r="G53" s="6">
        <v>4</v>
      </c>
      <c r="H53" s="6">
        <v>4000</v>
      </c>
      <c r="I53" s="9">
        <f t="shared" si="1"/>
        <v>16000</v>
      </c>
    </row>
    <row r="54" spans="1:9" x14ac:dyDescent="0.25">
      <c r="A54" s="12">
        <v>53</v>
      </c>
      <c r="B54" s="11" t="s">
        <v>14</v>
      </c>
      <c r="C54" s="6" t="s">
        <v>12</v>
      </c>
      <c r="D54" s="6" t="s">
        <v>17</v>
      </c>
      <c r="E54" s="10">
        <v>45690</v>
      </c>
      <c r="F54" s="6" t="s">
        <v>0</v>
      </c>
      <c r="G54" s="6">
        <v>5</v>
      </c>
      <c r="H54" s="6">
        <v>8000</v>
      </c>
      <c r="I54" s="9">
        <f t="shared" si="1"/>
        <v>40000</v>
      </c>
    </row>
    <row r="55" spans="1:9" x14ac:dyDescent="0.25">
      <c r="A55" s="12">
        <v>54</v>
      </c>
      <c r="B55" s="11" t="s">
        <v>13</v>
      </c>
      <c r="C55" s="6" t="s">
        <v>12</v>
      </c>
      <c r="D55" s="6" t="s">
        <v>17</v>
      </c>
      <c r="E55" s="10">
        <v>45690</v>
      </c>
      <c r="F55" s="6" t="s">
        <v>0</v>
      </c>
      <c r="G55" s="6">
        <v>6</v>
      </c>
      <c r="H55" s="6">
        <v>8000</v>
      </c>
      <c r="I55" s="9">
        <f t="shared" si="1"/>
        <v>48000</v>
      </c>
    </row>
    <row r="56" spans="1:9" x14ac:dyDescent="0.25">
      <c r="A56" s="12">
        <v>55</v>
      </c>
      <c r="B56" s="11" t="s">
        <v>11</v>
      </c>
      <c r="C56" s="6" t="s">
        <v>2</v>
      </c>
      <c r="D56" s="6" t="s">
        <v>17</v>
      </c>
      <c r="E56" s="10">
        <v>45691</v>
      </c>
      <c r="F56" s="6" t="s">
        <v>8</v>
      </c>
      <c r="G56" s="6">
        <v>11</v>
      </c>
      <c r="H56" s="6">
        <v>150</v>
      </c>
      <c r="I56" s="9">
        <f t="shared" si="1"/>
        <v>1650</v>
      </c>
    </row>
    <row r="57" spans="1:9" x14ac:dyDescent="0.25">
      <c r="A57" s="12">
        <v>56</v>
      </c>
      <c r="B57" s="11" t="s">
        <v>11</v>
      </c>
      <c r="C57" s="6" t="s">
        <v>2</v>
      </c>
      <c r="D57" s="6" t="s">
        <v>17</v>
      </c>
      <c r="E57" s="10">
        <v>45691</v>
      </c>
      <c r="F57" s="6" t="s">
        <v>7</v>
      </c>
      <c r="G57" s="6">
        <v>12</v>
      </c>
      <c r="H57" s="6">
        <v>350</v>
      </c>
      <c r="I57" s="9">
        <f t="shared" si="1"/>
        <v>4200</v>
      </c>
    </row>
    <row r="58" spans="1:9" x14ac:dyDescent="0.25">
      <c r="A58" s="12">
        <v>57</v>
      </c>
      <c r="B58" s="11" t="s">
        <v>11</v>
      </c>
      <c r="C58" s="6" t="s">
        <v>2</v>
      </c>
      <c r="D58" s="6" t="s">
        <v>17</v>
      </c>
      <c r="E58" s="10">
        <v>45691</v>
      </c>
      <c r="F58" s="6" t="s">
        <v>6</v>
      </c>
      <c r="G58" s="6">
        <v>15</v>
      </c>
      <c r="H58" s="6">
        <v>1800</v>
      </c>
      <c r="I58" s="9">
        <f t="shared" si="1"/>
        <v>27000</v>
      </c>
    </row>
    <row r="59" spans="1:9" x14ac:dyDescent="0.25">
      <c r="A59" s="12">
        <v>58</v>
      </c>
      <c r="B59" s="11" t="s">
        <v>11</v>
      </c>
      <c r="C59" s="6" t="s">
        <v>2</v>
      </c>
      <c r="D59" s="6" t="s">
        <v>17</v>
      </c>
      <c r="E59" s="10">
        <v>45691</v>
      </c>
      <c r="F59" s="6" t="s">
        <v>5</v>
      </c>
      <c r="G59" s="6">
        <v>5</v>
      </c>
      <c r="H59" s="6">
        <v>2300</v>
      </c>
      <c r="I59" s="9">
        <f t="shared" si="1"/>
        <v>11500</v>
      </c>
    </row>
    <row r="60" spans="1:9" x14ac:dyDescent="0.25">
      <c r="A60" s="12">
        <v>59</v>
      </c>
      <c r="B60" s="11" t="s">
        <v>11</v>
      </c>
      <c r="C60" s="6" t="s">
        <v>2</v>
      </c>
      <c r="D60" s="6" t="s">
        <v>17</v>
      </c>
      <c r="E60" s="10">
        <v>45691</v>
      </c>
      <c r="F60" s="6" t="s">
        <v>4</v>
      </c>
      <c r="G60" s="6">
        <v>5</v>
      </c>
      <c r="H60" s="6">
        <v>4000</v>
      </c>
      <c r="I60" s="9">
        <f t="shared" si="1"/>
        <v>20000</v>
      </c>
    </row>
    <row r="61" spans="1:9" x14ac:dyDescent="0.25">
      <c r="A61" s="12">
        <v>60</v>
      </c>
      <c r="B61" s="11" t="s">
        <v>11</v>
      </c>
      <c r="C61" s="6" t="s">
        <v>2</v>
      </c>
      <c r="D61" s="6" t="s">
        <v>17</v>
      </c>
      <c r="E61" s="10">
        <v>45691</v>
      </c>
      <c r="F61" s="6" t="s">
        <v>0</v>
      </c>
      <c r="G61" s="6">
        <v>5</v>
      </c>
      <c r="H61" s="6">
        <v>8000</v>
      </c>
      <c r="I61" s="9">
        <f t="shared" si="1"/>
        <v>40000</v>
      </c>
    </row>
    <row r="62" spans="1:9" x14ac:dyDescent="0.25">
      <c r="A62" s="12">
        <v>61</v>
      </c>
      <c r="B62" s="11" t="s">
        <v>10</v>
      </c>
      <c r="C62" s="6" t="s">
        <v>9</v>
      </c>
      <c r="D62" s="6" t="s">
        <v>17</v>
      </c>
      <c r="E62" s="10">
        <v>45692</v>
      </c>
      <c r="F62" s="6" t="s">
        <v>8</v>
      </c>
      <c r="G62" s="6">
        <v>5</v>
      </c>
      <c r="H62" s="6">
        <v>150</v>
      </c>
      <c r="I62" s="9">
        <f t="shared" si="1"/>
        <v>750</v>
      </c>
    </row>
    <row r="63" spans="1:9" x14ac:dyDescent="0.25">
      <c r="A63" s="12">
        <v>62</v>
      </c>
      <c r="B63" s="11" t="s">
        <v>10</v>
      </c>
      <c r="C63" s="6" t="s">
        <v>9</v>
      </c>
      <c r="D63" s="6" t="s">
        <v>17</v>
      </c>
      <c r="E63" s="10">
        <v>45692</v>
      </c>
      <c r="F63" s="6" t="s">
        <v>7</v>
      </c>
      <c r="G63" s="6">
        <v>14</v>
      </c>
      <c r="H63" s="6">
        <v>350</v>
      </c>
      <c r="I63" s="9">
        <f t="shared" si="1"/>
        <v>4900</v>
      </c>
    </row>
    <row r="64" spans="1:9" x14ac:dyDescent="0.25">
      <c r="A64" s="12">
        <v>63</v>
      </c>
      <c r="B64" s="11" t="s">
        <v>10</v>
      </c>
      <c r="C64" s="6" t="s">
        <v>9</v>
      </c>
      <c r="D64" s="6" t="s">
        <v>17</v>
      </c>
      <c r="E64" s="10">
        <v>45692</v>
      </c>
      <c r="F64" s="6" t="s">
        <v>6</v>
      </c>
      <c r="G64" s="6">
        <v>15</v>
      </c>
      <c r="H64" s="6">
        <v>1800</v>
      </c>
      <c r="I64" s="9">
        <f t="shared" si="1"/>
        <v>27000</v>
      </c>
    </row>
    <row r="65" spans="1:9" x14ac:dyDescent="0.25">
      <c r="A65" s="12">
        <v>64</v>
      </c>
      <c r="B65" s="11" t="s">
        <v>10</v>
      </c>
      <c r="C65" s="6" t="s">
        <v>9</v>
      </c>
      <c r="D65" s="6" t="s">
        <v>17</v>
      </c>
      <c r="E65" s="10">
        <v>45692</v>
      </c>
      <c r="F65" s="6" t="s">
        <v>5</v>
      </c>
      <c r="G65" s="6">
        <v>4</v>
      </c>
      <c r="H65" s="6">
        <v>2300</v>
      </c>
      <c r="I65" s="9">
        <f t="shared" si="1"/>
        <v>9200</v>
      </c>
    </row>
    <row r="66" spans="1:9" x14ac:dyDescent="0.25">
      <c r="A66" s="12">
        <v>65</v>
      </c>
      <c r="B66" s="11" t="s">
        <v>10</v>
      </c>
      <c r="C66" s="6" t="s">
        <v>9</v>
      </c>
      <c r="D66" s="6" t="s">
        <v>17</v>
      </c>
      <c r="E66" s="10">
        <v>45692</v>
      </c>
      <c r="F66" s="6" t="s">
        <v>4</v>
      </c>
      <c r="G66" s="6">
        <v>7</v>
      </c>
      <c r="H66" s="6">
        <v>4000</v>
      </c>
      <c r="I66" s="9">
        <f t="shared" ref="I66:I97" si="2">G66*H66</f>
        <v>28000</v>
      </c>
    </row>
    <row r="67" spans="1:9" x14ac:dyDescent="0.25">
      <c r="A67" s="12">
        <v>66</v>
      </c>
      <c r="B67" s="11" t="s">
        <v>10</v>
      </c>
      <c r="C67" s="6" t="s">
        <v>9</v>
      </c>
      <c r="D67" s="6" t="s">
        <v>17</v>
      </c>
      <c r="E67" s="10">
        <v>45692</v>
      </c>
      <c r="F67" s="6" t="s">
        <v>0</v>
      </c>
      <c r="G67" s="6">
        <v>16</v>
      </c>
      <c r="H67" s="6">
        <v>8000</v>
      </c>
      <c r="I67" s="9">
        <f t="shared" si="2"/>
        <v>128000</v>
      </c>
    </row>
    <row r="68" spans="1:9" x14ac:dyDescent="0.25">
      <c r="A68" s="12">
        <v>67</v>
      </c>
      <c r="B68" s="11" t="s">
        <v>3</v>
      </c>
      <c r="C68" s="6" t="s">
        <v>2</v>
      </c>
      <c r="D68" s="6" t="s">
        <v>17</v>
      </c>
      <c r="E68" s="10">
        <v>45693</v>
      </c>
      <c r="F68" s="6" t="s">
        <v>8</v>
      </c>
      <c r="G68" s="6">
        <v>10</v>
      </c>
      <c r="H68" s="6">
        <v>150</v>
      </c>
      <c r="I68" s="9">
        <f t="shared" si="2"/>
        <v>1500</v>
      </c>
    </row>
    <row r="69" spans="1:9" x14ac:dyDescent="0.25">
      <c r="A69" s="12">
        <v>68</v>
      </c>
      <c r="B69" s="11" t="s">
        <v>3</v>
      </c>
      <c r="C69" s="6" t="s">
        <v>2</v>
      </c>
      <c r="D69" s="6" t="s">
        <v>17</v>
      </c>
      <c r="E69" s="10">
        <v>45693</v>
      </c>
      <c r="F69" s="6" t="s">
        <v>7</v>
      </c>
      <c r="G69" s="6">
        <v>10</v>
      </c>
      <c r="H69" s="6">
        <v>350</v>
      </c>
      <c r="I69" s="9">
        <f t="shared" si="2"/>
        <v>3500</v>
      </c>
    </row>
    <row r="70" spans="1:9" x14ac:dyDescent="0.25">
      <c r="A70" s="12">
        <v>69</v>
      </c>
      <c r="B70" s="11" t="s">
        <v>3</v>
      </c>
      <c r="C70" s="6" t="s">
        <v>2</v>
      </c>
      <c r="D70" s="6" t="s">
        <v>17</v>
      </c>
      <c r="E70" s="10">
        <v>45693</v>
      </c>
      <c r="F70" s="6" t="s">
        <v>6</v>
      </c>
      <c r="G70" s="6">
        <v>12</v>
      </c>
      <c r="H70" s="6">
        <v>1800</v>
      </c>
      <c r="I70" s="9">
        <f t="shared" si="2"/>
        <v>21600</v>
      </c>
    </row>
    <row r="71" spans="1:9" x14ac:dyDescent="0.25">
      <c r="A71" s="12">
        <v>70</v>
      </c>
      <c r="B71" s="11" t="s">
        <v>3</v>
      </c>
      <c r="C71" s="6" t="s">
        <v>2</v>
      </c>
      <c r="D71" s="6" t="s">
        <v>17</v>
      </c>
      <c r="E71" s="10">
        <v>45693</v>
      </c>
      <c r="F71" s="6" t="s">
        <v>5</v>
      </c>
      <c r="G71" s="6">
        <v>8</v>
      </c>
      <c r="H71" s="6">
        <v>2300</v>
      </c>
      <c r="I71" s="9">
        <f t="shared" si="2"/>
        <v>18400</v>
      </c>
    </row>
    <row r="72" spans="1:9" x14ac:dyDescent="0.25">
      <c r="A72" s="12">
        <v>71</v>
      </c>
      <c r="B72" s="11" t="s">
        <v>3</v>
      </c>
      <c r="C72" s="6" t="s">
        <v>2</v>
      </c>
      <c r="D72" s="6" t="s">
        <v>17</v>
      </c>
      <c r="E72" s="10">
        <v>45693</v>
      </c>
      <c r="F72" s="6" t="s">
        <v>4</v>
      </c>
      <c r="G72" s="6">
        <v>11</v>
      </c>
      <c r="H72" s="6">
        <v>4000</v>
      </c>
      <c r="I72" s="9">
        <f t="shared" si="2"/>
        <v>44000</v>
      </c>
    </row>
    <row r="73" spans="1:9" x14ac:dyDescent="0.25">
      <c r="A73" s="12">
        <v>72</v>
      </c>
      <c r="B73" s="11" t="s">
        <v>3</v>
      </c>
      <c r="C73" s="6" t="s">
        <v>2</v>
      </c>
      <c r="D73" s="6" t="s">
        <v>17</v>
      </c>
      <c r="E73" s="10">
        <v>45693</v>
      </c>
      <c r="F73" s="6" t="s">
        <v>0</v>
      </c>
      <c r="G73" s="6">
        <v>16</v>
      </c>
      <c r="H73" s="6">
        <v>8000</v>
      </c>
      <c r="I73" s="9">
        <f t="shared" si="2"/>
        <v>128000</v>
      </c>
    </row>
    <row r="74" spans="1:9" x14ac:dyDescent="0.25">
      <c r="A74" s="12">
        <v>73</v>
      </c>
      <c r="B74" s="11" t="s">
        <v>15</v>
      </c>
      <c r="C74" s="6" t="s">
        <v>9</v>
      </c>
      <c r="D74" s="6" t="s">
        <v>16</v>
      </c>
      <c r="E74" s="10">
        <v>45717</v>
      </c>
      <c r="F74" s="6" t="s">
        <v>8</v>
      </c>
      <c r="G74" s="6">
        <v>5</v>
      </c>
      <c r="H74" s="6">
        <v>150</v>
      </c>
      <c r="I74" s="9">
        <f t="shared" si="2"/>
        <v>750</v>
      </c>
    </row>
    <row r="75" spans="1:9" x14ac:dyDescent="0.25">
      <c r="A75" s="12">
        <v>74</v>
      </c>
      <c r="B75" s="11" t="s">
        <v>15</v>
      </c>
      <c r="C75" s="6" t="s">
        <v>9</v>
      </c>
      <c r="D75" s="6" t="s">
        <v>16</v>
      </c>
      <c r="E75" s="10">
        <v>45717</v>
      </c>
      <c r="F75" s="6" t="s">
        <v>7</v>
      </c>
      <c r="G75" s="6">
        <v>12</v>
      </c>
      <c r="H75" s="6">
        <v>350</v>
      </c>
      <c r="I75" s="9">
        <f t="shared" si="2"/>
        <v>4200</v>
      </c>
    </row>
    <row r="76" spans="1:9" x14ac:dyDescent="0.25">
      <c r="A76" s="12">
        <v>75</v>
      </c>
      <c r="B76" s="11" t="s">
        <v>15</v>
      </c>
      <c r="C76" s="6" t="s">
        <v>9</v>
      </c>
      <c r="D76" s="6" t="s">
        <v>16</v>
      </c>
      <c r="E76" s="10">
        <v>45717</v>
      </c>
      <c r="F76" s="6" t="s">
        <v>6</v>
      </c>
      <c r="G76" s="6">
        <v>14</v>
      </c>
      <c r="H76" s="6">
        <v>1800</v>
      </c>
      <c r="I76" s="9">
        <f t="shared" si="2"/>
        <v>25200</v>
      </c>
    </row>
    <row r="77" spans="1:9" x14ac:dyDescent="0.25">
      <c r="A77" s="12">
        <v>76</v>
      </c>
      <c r="B77" s="11" t="s">
        <v>15</v>
      </c>
      <c r="C77" s="6" t="s">
        <v>9</v>
      </c>
      <c r="D77" s="6" t="s">
        <v>16</v>
      </c>
      <c r="E77" s="10">
        <v>45717</v>
      </c>
      <c r="F77" s="6" t="s">
        <v>5</v>
      </c>
      <c r="G77" s="6">
        <v>8</v>
      </c>
      <c r="H77" s="6">
        <v>2300</v>
      </c>
      <c r="I77" s="9">
        <f t="shared" si="2"/>
        <v>18400</v>
      </c>
    </row>
    <row r="78" spans="1:9" x14ac:dyDescent="0.25">
      <c r="A78" s="12">
        <v>77</v>
      </c>
      <c r="B78" s="11" t="s">
        <v>15</v>
      </c>
      <c r="C78" s="6" t="s">
        <v>9</v>
      </c>
      <c r="D78" s="6" t="s">
        <v>16</v>
      </c>
      <c r="E78" s="10">
        <v>45717</v>
      </c>
      <c r="F78" s="6" t="s">
        <v>4</v>
      </c>
      <c r="G78" s="6">
        <v>16</v>
      </c>
      <c r="H78" s="6">
        <v>4000</v>
      </c>
      <c r="I78" s="9">
        <f t="shared" si="2"/>
        <v>64000</v>
      </c>
    </row>
    <row r="79" spans="1:9" x14ac:dyDescent="0.25">
      <c r="A79" s="12">
        <v>78</v>
      </c>
      <c r="B79" s="11" t="s">
        <v>15</v>
      </c>
      <c r="C79" s="6" t="s">
        <v>9</v>
      </c>
      <c r="D79" s="6" t="s">
        <v>16</v>
      </c>
      <c r="E79" s="10">
        <v>45717</v>
      </c>
      <c r="F79" s="6" t="s">
        <v>0</v>
      </c>
      <c r="G79" s="6">
        <v>15</v>
      </c>
      <c r="H79" s="6">
        <v>8000</v>
      </c>
      <c r="I79" s="9">
        <f t="shared" si="2"/>
        <v>120000</v>
      </c>
    </row>
    <row r="80" spans="1:9" x14ac:dyDescent="0.25">
      <c r="A80" s="12">
        <v>79</v>
      </c>
      <c r="B80" s="11" t="s">
        <v>13</v>
      </c>
      <c r="C80" s="6" t="s">
        <v>12</v>
      </c>
      <c r="D80" s="6" t="s">
        <v>16</v>
      </c>
      <c r="E80" s="10">
        <v>45718</v>
      </c>
      <c r="F80" s="6" t="s">
        <v>8</v>
      </c>
      <c r="G80" s="6">
        <v>4</v>
      </c>
      <c r="H80" s="6">
        <v>150</v>
      </c>
      <c r="I80" s="9">
        <f t="shared" si="2"/>
        <v>600</v>
      </c>
    </row>
    <row r="81" spans="1:9" x14ac:dyDescent="0.25">
      <c r="A81" s="12">
        <v>80</v>
      </c>
      <c r="B81" s="11" t="s">
        <v>14</v>
      </c>
      <c r="C81" s="6" t="s">
        <v>12</v>
      </c>
      <c r="D81" s="6" t="s">
        <v>16</v>
      </c>
      <c r="E81" s="10">
        <v>45718</v>
      </c>
      <c r="F81" s="6" t="s">
        <v>8</v>
      </c>
      <c r="G81" s="6">
        <v>4</v>
      </c>
      <c r="H81" s="6">
        <v>150</v>
      </c>
      <c r="I81" s="9">
        <f t="shared" si="2"/>
        <v>600</v>
      </c>
    </row>
    <row r="82" spans="1:9" x14ac:dyDescent="0.25">
      <c r="A82" s="12">
        <v>81</v>
      </c>
      <c r="B82" s="11" t="s">
        <v>13</v>
      </c>
      <c r="C82" s="6" t="s">
        <v>12</v>
      </c>
      <c r="D82" s="6" t="s">
        <v>16</v>
      </c>
      <c r="E82" s="10">
        <v>45718</v>
      </c>
      <c r="F82" s="6" t="s">
        <v>7</v>
      </c>
      <c r="G82" s="6">
        <v>12</v>
      </c>
      <c r="H82" s="6">
        <v>350</v>
      </c>
      <c r="I82" s="9">
        <f t="shared" si="2"/>
        <v>4200</v>
      </c>
    </row>
    <row r="83" spans="1:9" x14ac:dyDescent="0.25">
      <c r="A83" s="12">
        <v>82</v>
      </c>
      <c r="B83" s="11" t="s">
        <v>14</v>
      </c>
      <c r="C83" s="6" t="s">
        <v>12</v>
      </c>
      <c r="D83" s="6" t="s">
        <v>16</v>
      </c>
      <c r="E83" s="10">
        <v>45718</v>
      </c>
      <c r="F83" s="6" t="s">
        <v>7</v>
      </c>
      <c r="G83" s="6">
        <v>4</v>
      </c>
      <c r="H83" s="6">
        <v>350</v>
      </c>
      <c r="I83" s="9">
        <f t="shared" si="2"/>
        <v>1400</v>
      </c>
    </row>
    <row r="84" spans="1:9" x14ac:dyDescent="0.25">
      <c r="A84" s="12">
        <v>83</v>
      </c>
      <c r="B84" s="11" t="s">
        <v>13</v>
      </c>
      <c r="C84" s="6" t="s">
        <v>12</v>
      </c>
      <c r="D84" s="6" t="s">
        <v>16</v>
      </c>
      <c r="E84" s="10">
        <v>45718</v>
      </c>
      <c r="F84" s="6" t="s">
        <v>6</v>
      </c>
      <c r="G84" s="6">
        <v>5</v>
      </c>
      <c r="H84" s="6">
        <v>1800</v>
      </c>
      <c r="I84" s="9">
        <f t="shared" si="2"/>
        <v>9000</v>
      </c>
    </row>
    <row r="85" spans="1:9" x14ac:dyDescent="0.25">
      <c r="A85" s="12">
        <v>84</v>
      </c>
      <c r="B85" s="11" t="s">
        <v>14</v>
      </c>
      <c r="C85" s="6" t="s">
        <v>12</v>
      </c>
      <c r="D85" s="6" t="s">
        <v>16</v>
      </c>
      <c r="E85" s="10">
        <v>45718</v>
      </c>
      <c r="F85" s="6" t="s">
        <v>6</v>
      </c>
      <c r="G85" s="6">
        <v>5</v>
      </c>
      <c r="H85" s="6">
        <v>1800</v>
      </c>
      <c r="I85" s="9">
        <f t="shared" si="2"/>
        <v>9000</v>
      </c>
    </row>
    <row r="86" spans="1:9" x14ac:dyDescent="0.25">
      <c r="A86" s="12">
        <v>85</v>
      </c>
      <c r="B86" s="11" t="s">
        <v>13</v>
      </c>
      <c r="C86" s="6" t="s">
        <v>12</v>
      </c>
      <c r="D86" s="6" t="s">
        <v>16</v>
      </c>
      <c r="E86" s="10">
        <v>45718</v>
      </c>
      <c r="F86" s="6" t="s">
        <v>5</v>
      </c>
      <c r="G86" s="6">
        <v>15</v>
      </c>
      <c r="H86" s="6">
        <v>2300</v>
      </c>
      <c r="I86" s="9">
        <f t="shared" si="2"/>
        <v>34500</v>
      </c>
    </row>
    <row r="87" spans="1:9" x14ac:dyDescent="0.25">
      <c r="A87" s="12">
        <v>86</v>
      </c>
      <c r="B87" s="11" t="s">
        <v>14</v>
      </c>
      <c r="C87" s="6" t="s">
        <v>12</v>
      </c>
      <c r="D87" s="6" t="s">
        <v>16</v>
      </c>
      <c r="E87" s="10">
        <v>45718</v>
      </c>
      <c r="F87" s="6" t="s">
        <v>5</v>
      </c>
      <c r="G87" s="6">
        <v>11</v>
      </c>
      <c r="H87" s="6">
        <v>2300</v>
      </c>
      <c r="I87" s="9">
        <f t="shared" si="2"/>
        <v>25300</v>
      </c>
    </row>
    <row r="88" spans="1:9" x14ac:dyDescent="0.25">
      <c r="A88" s="12">
        <v>87</v>
      </c>
      <c r="B88" s="11" t="s">
        <v>13</v>
      </c>
      <c r="C88" s="6" t="s">
        <v>12</v>
      </c>
      <c r="D88" s="6" t="s">
        <v>16</v>
      </c>
      <c r="E88" s="10">
        <v>45718</v>
      </c>
      <c r="F88" s="6" t="s">
        <v>4</v>
      </c>
      <c r="G88" s="6">
        <v>8</v>
      </c>
      <c r="H88" s="6">
        <v>4000</v>
      </c>
      <c r="I88" s="9">
        <f t="shared" si="2"/>
        <v>32000</v>
      </c>
    </row>
    <row r="89" spans="1:9" x14ac:dyDescent="0.25">
      <c r="A89" s="12">
        <v>88</v>
      </c>
      <c r="B89" s="11" t="s">
        <v>14</v>
      </c>
      <c r="C89" s="6" t="s">
        <v>12</v>
      </c>
      <c r="D89" s="6" t="s">
        <v>16</v>
      </c>
      <c r="E89" s="10">
        <v>45718</v>
      </c>
      <c r="F89" s="6" t="s">
        <v>4</v>
      </c>
      <c r="G89" s="6">
        <v>15</v>
      </c>
      <c r="H89" s="6">
        <v>4000</v>
      </c>
      <c r="I89" s="9">
        <f t="shared" si="2"/>
        <v>60000</v>
      </c>
    </row>
    <row r="90" spans="1:9" x14ac:dyDescent="0.25">
      <c r="A90" s="12">
        <v>89</v>
      </c>
      <c r="B90" s="11" t="s">
        <v>14</v>
      </c>
      <c r="C90" s="6" t="s">
        <v>12</v>
      </c>
      <c r="D90" s="6" t="s">
        <v>16</v>
      </c>
      <c r="E90" s="10">
        <v>45718</v>
      </c>
      <c r="F90" s="6" t="s">
        <v>0</v>
      </c>
      <c r="G90" s="6">
        <v>6</v>
      </c>
      <c r="H90" s="6">
        <v>8000</v>
      </c>
      <c r="I90" s="9">
        <f t="shared" si="2"/>
        <v>48000</v>
      </c>
    </row>
    <row r="91" spans="1:9" x14ac:dyDescent="0.25">
      <c r="A91" s="12">
        <v>90</v>
      </c>
      <c r="B91" s="11" t="s">
        <v>13</v>
      </c>
      <c r="C91" s="6" t="s">
        <v>12</v>
      </c>
      <c r="D91" s="6" t="s">
        <v>16</v>
      </c>
      <c r="E91" s="10">
        <v>45718</v>
      </c>
      <c r="F91" s="6" t="s">
        <v>0</v>
      </c>
      <c r="G91" s="6">
        <v>8</v>
      </c>
      <c r="H91" s="6">
        <v>8000</v>
      </c>
      <c r="I91" s="9">
        <f t="shared" si="2"/>
        <v>64000</v>
      </c>
    </row>
    <row r="92" spans="1:9" x14ac:dyDescent="0.25">
      <c r="A92" s="12">
        <v>91</v>
      </c>
      <c r="B92" s="11" t="s">
        <v>11</v>
      </c>
      <c r="C92" s="6" t="s">
        <v>2</v>
      </c>
      <c r="D92" s="6" t="s">
        <v>16</v>
      </c>
      <c r="E92" s="10">
        <v>45719</v>
      </c>
      <c r="F92" s="6" t="s">
        <v>8</v>
      </c>
      <c r="G92" s="6">
        <v>5</v>
      </c>
      <c r="H92" s="6">
        <v>150</v>
      </c>
      <c r="I92" s="9">
        <f t="shared" si="2"/>
        <v>750</v>
      </c>
    </row>
    <row r="93" spans="1:9" x14ac:dyDescent="0.25">
      <c r="A93" s="12">
        <v>92</v>
      </c>
      <c r="B93" s="11" t="s">
        <v>11</v>
      </c>
      <c r="C93" s="6" t="s">
        <v>2</v>
      </c>
      <c r="D93" s="6" t="s">
        <v>16</v>
      </c>
      <c r="E93" s="10">
        <v>45719</v>
      </c>
      <c r="F93" s="6" t="s">
        <v>7</v>
      </c>
      <c r="G93" s="6">
        <v>6</v>
      </c>
      <c r="H93" s="6">
        <v>350</v>
      </c>
      <c r="I93" s="9">
        <f t="shared" si="2"/>
        <v>2100</v>
      </c>
    </row>
    <row r="94" spans="1:9" x14ac:dyDescent="0.25">
      <c r="A94" s="12">
        <v>93</v>
      </c>
      <c r="B94" s="11" t="s">
        <v>11</v>
      </c>
      <c r="C94" s="6" t="s">
        <v>2</v>
      </c>
      <c r="D94" s="6" t="s">
        <v>16</v>
      </c>
      <c r="E94" s="10">
        <v>45719</v>
      </c>
      <c r="F94" s="6" t="s">
        <v>6</v>
      </c>
      <c r="G94" s="6">
        <v>12</v>
      </c>
      <c r="H94" s="6">
        <v>1800</v>
      </c>
      <c r="I94" s="9">
        <f t="shared" si="2"/>
        <v>21600</v>
      </c>
    </row>
    <row r="95" spans="1:9" x14ac:dyDescent="0.25">
      <c r="A95" s="12">
        <v>94</v>
      </c>
      <c r="B95" s="11" t="s">
        <v>11</v>
      </c>
      <c r="C95" s="6" t="s">
        <v>2</v>
      </c>
      <c r="D95" s="6" t="s">
        <v>16</v>
      </c>
      <c r="E95" s="10">
        <v>45719</v>
      </c>
      <c r="F95" s="6" t="s">
        <v>5</v>
      </c>
      <c r="G95" s="6">
        <v>6</v>
      </c>
      <c r="H95" s="6">
        <v>2300</v>
      </c>
      <c r="I95" s="9">
        <f t="shared" si="2"/>
        <v>13800</v>
      </c>
    </row>
    <row r="96" spans="1:9" x14ac:dyDescent="0.25">
      <c r="A96" s="12">
        <v>95</v>
      </c>
      <c r="B96" s="11" t="s">
        <v>11</v>
      </c>
      <c r="C96" s="6" t="s">
        <v>2</v>
      </c>
      <c r="D96" s="6" t="s">
        <v>16</v>
      </c>
      <c r="E96" s="10">
        <v>45719</v>
      </c>
      <c r="F96" s="6" t="s">
        <v>4</v>
      </c>
      <c r="G96" s="6">
        <v>8</v>
      </c>
      <c r="H96" s="6">
        <v>4000</v>
      </c>
      <c r="I96" s="9">
        <f t="shared" si="2"/>
        <v>32000</v>
      </c>
    </row>
    <row r="97" spans="1:9" x14ac:dyDescent="0.25">
      <c r="A97" s="12">
        <v>96</v>
      </c>
      <c r="B97" s="11" t="s">
        <v>11</v>
      </c>
      <c r="C97" s="6" t="s">
        <v>2</v>
      </c>
      <c r="D97" s="6" t="s">
        <v>16</v>
      </c>
      <c r="E97" s="10">
        <v>45719</v>
      </c>
      <c r="F97" s="6" t="s">
        <v>0</v>
      </c>
      <c r="G97" s="6">
        <v>15</v>
      </c>
      <c r="H97" s="6">
        <v>8000</v>
      </c>
      <c r="I97" s="9">
        <f t="shared" si="2"/>
        <v>120000</v>
      </c>
    </row>
    <row r="98" spans="1:9" x14ac:dyDescent="0.25">
      <c r="A98" s="12">
        <v>97</v>
      </c>
      <c r="B98" s="11" t="s">
        <v>10</v>
      </c>
      <c r="C98" s="6" t="s">
        <v>9</v>
      </c>
      <c r="D98" s="6" t="s">
        <v>16</v>
      </c>
      <c r="E98" s="10">
        <v>45720</v>
      </c>
      <c r="F98" s="6" t="s">
        <v>8</v>
      </c>
      <c r="G98" s="6">
        <v>10</v>
      </c>
      <c r="H98" s="6">
        <v>150</v>
      </c>
      <c r="I98" s="9">
        <f t="shared" ref="I98:I129" si="3">G98*H98</f>
        <v>1500</v>
      </c>
    </row>
    <row r="99" spans="1:9" x14ac:dyDescent="0.25">
      <c r="A99" s="12">
        <v>98</v>
      </c>
      <c r="B99" s="11" t="s">
        <v>10</v>
      </c>
      <c r="C99" s="6" t="s">
        <v>9</v>
      </c>
      <c r="D99" s="6" t="s">
        <v>16</v>
      </c>
      <c r="E99" s="10">
        <v>45720</v>
      </c>
      <c r="F99" s="6" t="s">
        <v>7</v>
      </c>
      <c r="G99" s="6">
        <v>9</v>
      </c>
      <c r="H99" s="6">
        <v>350</v>
      </c>
      <c r="I99" s="9">
        <f t="shared" si="3"/>
        <v>3150</v>
      </c>
    </row>
    <row r="100" spans="1:9" x14ac:dyDescent="0.25">
      <c r="A100" s="12">
        <v>99</v>
      </c>
      <c r="B100" s="11" t="s">
        <v>10</v>
      </c>
      <c r="C100" s="6" t="s">
        <v>9</v>
      </c>
      <c r="D100" s="6" t="s">
        <v>16</v>
      </c>
      <c r="E100" s="10">
        <v>45720</v>
      </c>
      <c r="F100" s="6" t="s">
        <v>6</v>
      </c>
      <c r="G100" s="6">
        <v>9</v>
      </c>
      <c r="H100" s="6">
        <v>1800</v>
      </c>
      <c r="I100" s="9">
        <f t="shared" si="3"/>
        <v>16200</v>
      </c>
    </row>
    <row r="101" spans="1:9" x14ac:dyDescent="0.25">
      <c r="A101" s="12">
        <v>100</v>
      </c>
      <c r="B101" s="11" t="s">
        <v>10</v>
      </c>
      <c r="C101" s="6" t="s">
        <v>9</v>
      </c>
      <c r="D101" s="6" t="s">
        <v>16</v>
      </c>
      <c r="E101" s="10">
        <v>45720</v>
      </c>
      <c r="F101" s="6" t="s">
        <v>5</v>
      </c>
      <c r="G101" s="6">
        <v>16</v>
      </c>
      <c r="H101" s="6">
        <v>2300</v>
      </c>
      <c r="I101" s="9">
        <f t="shared" si="3"/>
        <v>36800</v>
      </c>
    </row>
    <row r="102" spans="1:9" x14ac:dyDescent="0.25">
      <c r="A102" s="12">
        <v>101</v>
      </c>
      <c r="B102" s="11" t="s">
        <v>10</v>
      </c>
      <c r="C102" s="6" t="s">
        <v>9</v>
      </c>
      <c r="D102" s="6" t="s">
        <v>16</v>
      </c>
      <c r="E102" s="10">
        <v>45720</v>
      </c>
      <c r="F102" s="6" t="s">
        <v>4</v>
      </c>
      <c r="G102" s="6">
        <v>11</v>
      </c>
      <c r="H102" s="6">
        <v>4000</v>
      </c>
      <c r="I102" s="9">
        <f t="shared" si="3"/>
        <v>44000</v>
      </c>
    </row>
    <row r="103" spans="1:9" x14ac:dyDescent="0.25">
      <c r="A103" s="12">
        <v>102</v>
      </c>
      <c r="B103" s="11" t="s">
        <v>10</v>
      </c>
      <c r="C103" s="6" t="s">
        <v>9</v>
      </c>
      <c r="D103" s="6" t="s">
        <v>16</v>
      </c>
      <c r="E103" s="10">
        <v>45720</v>
      </c>
      <c r="F103" s="6" t="s">
        <v>0</v>
      </c>
      <c r="G103" s="6">
        <v>8</v>
      </c>
      <c r="H103" s="6">
        <v>8000</v>
      </c>
      <c r="I103" s="9">
        <f t="shared" si="3"/>
        <v>64000</v>
      </c>
    </row>
    <row r="104" spans="1:9" x14ac:dyDescent="0.25">
      <c r="A104" s="12">
        <v>103</v>
      </c>
      <c r="B104" s="11" t="s">
        <v>3</v>
      </c>
      <c r="C104" s="6" t="s">
        <v>2</v>
      </c>
      <c r="D104" s="6" t="s">
        <v>16</v>
      </c>
      <c r="E104" s="10">
        <v>45721</v>
      </c>
      <c r="F104" s="6" t="s">
        <v>8</v>
      </c>
      <c r="G104" s="6">
        <v>11</v>
      </c>
      <c r="H104" s="6">
        <v>150</v>
      </c>
      <c r="I104" s="9">
        <f t="shared" si="3"/>
        <v>1650</v>
      </c>
    </row>
    <row r="105" spans="1:9" x14ac:dyDescent="0.25">
      <c r="A105" s="12">
        <v>104</v>
      </c>
      <c r="B105" s="11" t="s">
        <v>3</v>
      </c>
      <c r="C105" s="6" t="s">
        <v>2</v>
      </c>
      <c r="D105" s="6" t="s">
        <v>16</v>
      </c>
      <c r="E105" s="10">
        <v>45721</v>
      </c>
      <c r="F105" s="6" t="s">
        <v>7</v>
      </c>
      <c r="G105" s="6">
        <v>4</v>
      </c>
      <c r="H105" s="6">
        <v>350</v>
      </c>
      <c r="I105" s="9">
        <f t="shared" si="3"/>
        <v>1400</v>
      </c>
    </row>
    <row r="106" spans="1:9" x14ac:dyDescent="0.25">
      <c r="A106" s="12">
        <v>105</v>
      </c>
      <c r="B106" s="11" t="s">
        <v>3</v>
      </c>
      <c r="C106" s="6" t="s">
        <v>2</v>
      </c>
      <c r="D106" s="6" t="s">
        <v>16</v>
      </c>
      <c r="E106" s="10">
        <v>45721</v>
      </c>
      <c r="F106" s="6" t="s">
        <v>6</v>
      </c>
      <c r="G106" s="6">
        <v>15</v>
      </c>
      <c r="H106" s="6">
        <v>1800</v>
      </c>
      <c r="I106" s="9">
        <f t="shared" si="3"/>
        <v>27000</v>
      </c>
    </row>
    <row r="107" spans="1:9" x14ac:dyDescent="0.25">
      <c r="A107" s="12">
        <v>106</v>
      </c>
      <c r="B107" s="11" t="s">
        <v>3</v>
      </c>
      <c r="C107" s="6" t="s">
        <v>2</v>
      </c>
      <c r="D107" s="6" t="s">
        <v>16</v>
      </c>
      <c r="E107" s="10">
        <v>45721</v>
      </c>
      <c r="F107" s="6" t="s">
        <v>5</v>
      </c>
      <c r="G107" s="6">
        <v>11</v>
      </c>
      <c r="H107" s="6">
        <v>2300</v>
      </c>
      <c r="I107" s="9">
        <f t="shared" si="3"/>
        <v>25300</v>
      </c>
    </row>
    <row r="108" spans="1:9" x14ac:dyDescent="0.25">
      <c r="A108" s="12">
        <v>107</v>
      </c>
      <c r="B108" s="11" t="s">
        <v>3</v>
      </c>
      <c r="C108" s="6" t="s">
        <v>2</v>
      </c>
      <c r="D108" s="6" t="s">
        <v>16</v>
      </c>
      <c r="E108" s="10">
        <v>45721</v>
      </c>
      <c r="F108" s="6" t="s">
        <v>4</v>
      </c>
      <c r="G108" s="6">
        <v>14</v>
      </c>
      <c r="H108" s="6">
        <v>4000</v>
      </c>
      <c r="I108" s="9">
        <f t="shared" si="3"/>
        <v>56000</v>
      </c>
    </row>
    <row r="109" spans="1:9" x14ac:dyDescent="0.25">
      <c r="A109" s="12">
        <v>108</v>
      </c>
      <c r="B109" s="11" t="s">
        <v>3</v>
      </c>
      <c r="C109" s="6" t="s">
        <v>2</v>
      </c>
      <c r="D109" s="6" t="s">
        <v>16</v>
      </c>
      <c r="E109" s="10">
        <v>45721</v>
      </c>
      <c r="F109" s="6" t="s">
        <v>0</v>
      </c>
      <c r="G109" s="6">
        <v>15</v>
      </c>
      <c r="H109" s="6">
        <v>8000</v>
      </c>
      <c r="I109" s="9">
        <f t="shared" si="3"/>
        <v>120000</v>
      </c>
    </row>
    <row r="110" spans="1:9" x14ac:dyDescent="0.25">
      <c r="A110" s="12">
        <v>109</v>
      </c>
      <c r="B110" s="11" t="s">
        <v>15</v>
      </c>
      <c r="C110" s="6" t="s">
        <v>9</v>
      </c>
      <c r="D110" s="6" t="s">
        <v>1</v>
      </c>
      <c r="E110" s="10">
        <v>45748</v>
      </c>
      <c r="F110" s="6" t="s">
        <v>8</v>
      </c>
      <c r="G110" s="6">
        <v>4</v>
      </c>
      <c r="H110" s="6">
        <v>150</v>
      </c>
      <c r="I110" s="9">
        <f t="shared" si="3"/>
        <v>600</v>
      </c>
    </row>
    <row r="111" spans="1:9" x14ac:dyDescent="0.25">
      <c r="A111" s="12">
        <v>110</v>
      </c>
      <c r="B111" s="11" t="s">
        <v>15</v>
      </c>
      <c r="C111" s="6" t="s">
        <v>9</v>
      </c>
      <c r="D111" s="6" t="s">
        <v>1</v>
      </c>
      <c r="E111" s="10">
        <v>45748</v>
      </c>
      <c r="F111" s="6" t="s">
        <v>7</v>
      </c>
      <c r="G111" s="6">
        <v>7</v>
      </c>
      <c r="H111" s="6">
        <v>350</v>
      </c>
      <c r="I111" s="9">
        <f t="shared" si="3"/>
        <v>2450</v>
      </c>
    </row>
    <row r="112" spans="1:9" x14ac:dyDescent="0.25">
      <c r="A112" s="12">
        <v>111</v>
      </c>
      <c r="B112" s="11" t="s">
        <v>15</v>
      </c>
      <c r="C112" s="6" t="s">
        <v>9</v>
      </c>
      <c r="D112" s="6" t="s">
        <v>1</v>
      </c>
      <c r="E112" s="10">
        <v>45748</v>
      </c>
      <c r="F112" s="6" t="s">
        <v>6</v>
      </c>
      <c r="G112" s="6">
        <v>12</v>
      </c>
      <c r="H112" s="6">
        <v>1800</v>
      </c>
      <c r="I112" s="9">
        <f t="shared" si="3"/>
        <v>21600</v>
      </c>
    </row>
    <row r="113" spans="1:9" x14ac:dyDescent="0.25">
      <c r="A113" s="12">
        <v>112</v>
      </c>
      <c r="B113" s="11" t="s">
        <v>15</v>
      </c>
      <c r="C113" s="6" t="s">
        <v>9</v>
      </c>
      <c r="D113" s="6" t="s">
        <v>1</v>
      </c>
      <c r="E113" s="10">
        <v>45748</v>
      </c>
      <c r="F113" s="6" t="s">
        <v>5</v>
      </c>
      <c r="G113" s="6">
        <v>15</v>
      </c>
      <c r="H113" s="6">
        <v>2300</v>
      </c>
      <c r="I113" s="9">
        <f t="shared" si="3"/>
        <v>34500</v>
      </c>
    </row>
    <row r="114" spans="1:9" x14ac:dyDescent="0.25">
      <c r="A114" s="12">
        <v>113</v>
      </c>
      <c r="B114" s="11" t="s">
        <v>15</v>
      </c>
      <c r="C114" s="6" t="s">
        <v>9</v>
      </c>
      <c r="D114" s="6" t="s">
        <v>1</v>
      </c>
      <c r="E114" s="10">
        <v>45748</v>
      </c>
      <c r="F114" s="6" t="s">
        <v>4</v>
      </c>
      <c r="G114" s="6">
        <v>12</v>
      </c>
      <c r="H114" s="6">
        <v>4000</v>
      </c>
      <c r="I114" s="9">
        <f t="shared" si="3"/>
        <v>48000</v>
      </c>
    </row>
    <row r="115" spans="1:9" x14ac:dyDescent="0.25">
      <c r="A115" s="12">
        <v>114</v>
      </c>
      <c r="B115" s="11" t="s">
        <v>15</v>
      </c>
      <c r="C115" s="6" t="s">
        <v>9</v>
      </c>
      <c r="D115" s="6" t="s">
        <v>1</v>
      </c>
      <c r="E115" s="10">
        <v>45748</v>
      </c>
      <c r="F115" s="6" t="s">
        <v>0</v>
      </c>
      <c r="G115" s="6">
        <v>10</v>
      </c>
      <c r="H115" s="6">
        <v>8000</v>
      </c>
      <c r="I115" s="9">
        <f t="shared" si="3"/>
        <v>80000</v>
      </c>
    </row>
    <row r="116" spans="1:9" x14ac:dyDescent="0.25">
      <c r="A116" s="12">
        <v>115</v>
      </c>
      <c r="B116" s="11" t="s">
        <v>13</v>
      </c>
      <c r="C116" s="6" t="s">
        <v>12</v>
      </c>
      <c r="D116" s="6" t="s">
        <v>1</v>
      </c>
      <c r="E116" s="10">
        <v>45749</v>
      </c>
      <c r="F116" s="6" t="s">
        <v>8</v>
      </c>
      <c r="G116" s="6">
        <v>14</v>
      </c>
      <c r="H116" s="6">
        <v>150</v>
      </c>
      <c r="I116" s="9">
        <f t="shared" si="3"/>
        <v>2100</v>
      </c>
    </row>
    <row r="117" spans="1:9" x14ac:dyDescent="0.25">
      <c r="A117" s="12">
        <v>116</v>
      </c>
      <c r="B117" s="11" t="s">
        <v>14</v>
      </c>
      <c r="C117" s="6" t="s">
        <v>12</v>
      </c>
      <c r="D117" s="6" t="s">
        <v>1</v>
      </c>
      <c r="E117" s="10">
        <v>45749</v>
      </c>
      <c r="F117" s="6" t="s">
        <v>8</v>
      </c>
      <c r="G117" s="6">
        <v>11</v>
      </c>
      <c r="H117" s="6">
        <v>150</v>
      </c>
      <c r="I117" s="9">
        <f t="shared" si="3"/>
        <v>1650</v>
      </c>
    </row>
    <row r="118" spans="1:9" x14ac:dyDescent="0.25">
      <c r="A118" s="12">
        <v>117</v>
      </c>
      <c r="B118" s="11" t="s">
        <v>13</v>
      </c>
      <c r="C118" s="6" t="s">
        <v>12</v>
      </c>
      <c r="D118" s="6" t="s">
        <v>1</v>
      </c>
      <c r="E118" s="10">
        <v>45749</v>
      </c>
      <c r="F118" s="6" t="s">
        <v>7</v>
      </c>
      <c r="G118" s="6">
        <v>9</v>
      </c>
      <c r="H118" s="6">
        <v>350</v>
      </c>
      <c r="I118" s="9">
        <f t="shared" si="3"/>
        <v>3150</v>
      </c>
    </row>
    <row r="119" spans="1:9" x14ac:dyDescent="0.25">
      <c r="A119" s="12">
        <v>118</v>
      </c>
      <c r="B119" s="11" t="s">
        <v>14</v>
      </c>
      <c r="C119" s="6" t="s">
        <v>12</v>
      </c>
      <c r="D119" s="6" t="s">
        <v>1</v>
      </c>
      <c r="E119" s="10">
        <v>45749</v>
      </c>
      <c r="F119" s="6" t="s">
        <v>7</v>
      </c>
      <c r="G119" s="6">
        <v>4</v>
      </c>
      <c r="H119" s="6">
        <v>350</v>
      </c>
      <c r="I119" s="9">
        <f t="shared" si="3"/>
        <v>1400</v>
      </c>
    </row>
    <row r="120" spans="1:9" x14ac:dyDescent="0.25">
      <c r="A120" s="12">
        <v>119</v>
      </c>
      <c r="B120" s="11" t="s">
        <v>13</v>
      </c>
      <c r="C120" s="6" t="s">
        <v>12</v>
      </c>
      <c r="D120" s="6" t="s">
        <v>1</v>
      </c>
      <c r="E120" s="10">
        <v>45749</v>
      </c>
      <c r="F120" s="6" t="s">
        <v>6</v>
      </c>
      <c r="G120" s="6">
        <v>15</v>
      </c>
      <c r="H120" s="6">
        <v>1800</v>
      </c>
      <c r="I120" s="9">
        <f t="shared" si="3"/>
        <v>27000</v>
      </c>
    </row>
    <row r="121" spans="1:9" x14ac:dyDescent="0.25">
      <c r="A121" s="12">
        <v>120</v>
      </c>
      <c r="B121" s="11" t="s">
        <v>14</v>
      </c>
      <c r="C121" s="6" t="s">
        <v>12</v>
      </c>
      <c r="D121" s="6" t="s">
        <v>1</v>
      </c>
      <c r="E121" s="10">
        <v>45749</v>
      </c>
      <c r="F121" s="6" t="s">
        <v>6</v>
      </c>
      <c r="G121" s="6">
        <v>16</v>
      </c>
      <c r="H121" s="6">
        <v>1800</v>
      </c>
      <c r="I121" s="9">
        <f t="shared" si="3"/>
        <v>28800</v>
      </c>
    </row>
    <row r="122" spans="1:9" x14ac:dyDescent="0.25">
      <c r="A122" s="12">
        <v>121</v>
      </c>
      <c r="B122" s="11" t="s">
        <v>13</v>
      </c>
      <c r="C122" s="6" t="s">
        <v>12</v>
      </c>
      <c r="D122" s="6" t="s">
        <v>1</v>
      </c>
      <c r="E122" s="10">
        <v>45749</v>
      </c>
      <c r="F122" s="6" t="s">
        <v>5</v>
      </c>
      <c r="G122" s="6">
        <v>14</v>
      </c>
      <c r="H122" s="6">
        <v>2300</v>
      </c>
      <c r="I122" s="9">
        <f t="shared" si="3"/>
        <v>32200</v>
      </c>
    </row>
    <row r="123" spans="1:9" x14ac:dyDescent="0.25">
      <c r="A123" s="12">
        <v>122</v>
      </c>
      <c r="B123" s="11" t="s">
        <v>14</v>
      </c>
      <c r="C123" s="6" t="s">
        <v>12</v>
      </c>
      <c r="D123" s="6" t="s">
        <v>1</v>
      </c>
      <c r="E123" s="10">
        <v>45749</v>
      </c>
      <c r="F123" s="6" t="s">
        <v>5</v>
      </c>
      <c r="G123" s="6">
        <v>14</v>
      </c>
      <c r="H123" s="6">
        <v>2300</v>
      </c>
      <c r="I123" s="9">
        <f t="shared" si="3"/>
        <v>32200</v>
      </c>
    </row>
    <row r="124" spans="1:9" x14ac:dyDescent="0.25">
      <c r="A124" s="12">
        <v>123</v>
      </c>
      <c r="B124" s="11" t="s">
        <v>13</v>
      </c>
      <c r="C124" s="6" t="s">
        <v>12</v>
      </c>
      <c r="D124" s="6" t="s">
        <v>1</v>
      </c>
      <c r="E124" s="10">
        <v>45749</v>
      </c>
      <c r="F124" s="6" t="s">
        <v>4</v>
      </c>
      <c r="G124" s="6">
        <v>9</v>
      </c>
      <c r="H124" s="6">
        <v>4000</v>
      </c>
      <c r="I124" s="9">
        <f t="shared" si="3"/>
        <v>36000</v>
      </c>
    </row>
    <row r="125" spans="1:9" x14ac:dyDescent="0.25">
      <c r="A125" s="12">
        <v>124</v>
      </c>
      <c r="B125" s="11" t="s">
        <v>14</v>
      </c>
      <c r="C125" s="6" t="s">
        <v>12</v>
      </c>
      <c r="D125" s="6" t="s">
        <v>1</v>
      </c>
      <c r="E125" s="10">
        <v>45749</v>
      </c>
      <c r="F125" s="6" t="s">
        <v>4</v>
      </c>
      <c r="G125" s="6">
        <v>5</v>
      </c>
      <c r="H125" s="6">
        <v>4000</v>
      </c>
      <c r="I125" s="9">
        <f t="shared" si="3"/>
        <v>20000</v>
      </c>
    </row>
    <row r="126" spans="1:9" x14ac:dyDescent="0.25">
      <c r="A126" s="12">
        <v>125</v>
      </c>
      <c r="B126" s="11" t="s">
        <v>14</v>
      </c>
      <c r="C126" s="6" t="s">
        <v>12</v>
      </c>
      <c r="D126" s="6" t="s">
        <v>1</v>
      </c>
      <c r="E126" s="10">
        <v>45749</v>
      </c>
      <c r="F126" s="6" t="s">
        <v>0</v>
      </c>
      <c r="G126" s="6">
        <v>15</v>
      </c>
      <c r="H126" s="6">
        <v>8000</v>
      </c>
      <c r="I126" s="9">
        <f t="shared" si="3"/>
        <v>120000</v>
      </c>
    </row>
    <row r="127" spans="1:9" x14ac:dyDescent="0.25">
      <c r="A127" s="12">
        <v>126</v>
      </c>
      <c r="B127" s="11" t="s">
        <v>13</v>
      </c>
      <c r="C127" s="6" t="s">
        <v>12</v>
      </c>
      <c r="D127" s="6" t="s">
        <v>1</v>
      </c>
      <c r="E127" s="10">
        <v>45749</v>
      </c>
      <c r="F127" s="6" t="s">
        <v>0</v>
      </c>
      <c r="G127" s="6">
        <v>4</v>
      </c>
      <c r="H127" s="6">
        <v>8000</v>
      </c>
      <c r="I127" s="9">
        <f t="shared" si="3"/>
        <v>32000</v>
      </c>
    </row>
    <row r="128" spans="1:9" x14ac:dyDescent="0.25">
      <c r="A128" s="12">
        <v>127</v>
      </c>
      <c r="B128" s="11" t="s">
        <v>11</v>
      </c>
      <c r="C128" s="6" t="s">
        <v>2</v>
      </c>
      <c r="D128" s="6" t="s">
        <v>1</v>
      </c>
      <c r="E128" s="10">
        <v>45750</v>
      </c>
      <c r="F128" s="6" t="s">
        <v>8</v>
      </c>
      <c r="G128" s="6">
        <v>9</v>
      </c>
      <c r="H128" s="6">
        <v>150</v>
      </c>
      <c r="I128" s="9">
        <f t="shared" si="3"/>
        <v>1350</v>
      </c>
    </row>
    <row r="129" spans="1:9" x14ac:dyDescent="0.25">
      <c r="A129" s="12">
        <v>128</v>
      </c>
      <c r="B129" s="11" t="s">
        <v>11</v>
      </c>
      <c r="C129" s="6" t="s">
        <v>2</v>
      </c>
      <c r="D129" s="6" t="s">
        <v>1</v>
      </c>
      <c r="E129" s="10">
        <v>45750</v>
      </c>
      <c r="F129" s="6" t="s">
        <v>7</v>
      </c>
      <c r="G129" s="6">
        <v>8</v>
      </c>
      <c r="H129" s="6">
        <v>350</v>
      </c>
      <c r="I129" s="9">
        <f t="shared" si="3"/>
        <v>2800</v>
      </c>
    </row>
    <row r="130" spans="1:9" x14ac:dyDescent="0.25">
      <c r="A130" s="12">
        <v>129</v>
      </c>
      <c r="B130" s="11" t="s">
        <v>11</v>
      </c>
      <c r="C130" s="6" t="s">
        <v>2</v>
      </c>
      <c r="D130" s="6" t="s">
        <v>1</v>
      </c>
      <c r="E130" s="10">
        <v>45750</v>
      </c>
      <c r="F130" s="6" t="s">
        <v>6</v>
      </c>
      <c r="G130" s="6">
        <v>6</v>
      </c>
      <c r="H130" s="6">
        <v>1800</v>
      </c>
      <c r="I130" s="9">
        <f t="shared" ref="I130:I145" si="4">G130*H130</f>
        <v>10800</v>
      </c>
    </row>
    <row r="131" spans="1:9" x14ac:dyDescent="0.25">
      <c r="A131" s="12">
        <v>130</v>
      </c>
      <c r="B131" s="11" t="s">
        <v>11</v>
      </c>
      <c r="C131" s="6" t="s">
        <v>2</v>
      </c>
      <c r="D131" s="6" t="s">
        <v>1</v>
      </c>
      <c r="E131" s="10">
        <v>45750</v>
      </c>
      <c r="F131" s="6" t="s">
        <v>5</v>
      </c>
      <c r="G131" s="6">
        <v>12</v>
      </c>
      <c r="H131" s="6">
        <v>2300</v>
      </c>
      <c r="I131" s="9">
        <f t="shared" si="4"/>
        <v>27600</v>
      </c>
    </row>
    <row r="132" spans="1:9" x14ac:dyDescent="0.25">
      <c r="A132" s="12">
        <v>131</v>
      </c>
      <c r="B132" s="11" t="s">
        <v>11</v>
      </c>
      <c r="C132" s="6" t="s">
        <v>2</v>
      </c>
      <c r="D132" s="6" t="s">
        <v>1</v>
      </c>
      <c r="E132" s="10">
        <v>45750</v>
      </c>
      <c r="F132" s="6" t="s">
        <v>4</v>
      </c>
      <c r="G132" s="6">
        <v>9</v>
      </c>
      <c r="H132" s="6">
        <v>4000</v>
      </c>
      <c r="I132" s="9">
        <f t="shared" si="4"/>
        <v>36000</v>
      </c>
    </row>
    <row r="133" spans="1:9" x14ac:dyDescent="0.25">
      <c r="A133" s="12">
        <v>132</v>
      </c>
      <c r="B133" s="11" t="s">
        <v>11</v>
      </c>
      <c r="C133" s="6" t="s">
        <v>2</v>
      </c>
      <c r="D133" s="6" t="s">
        <v>1</v>
      </c>
      <c r="E133" s="10">
        <v>45750</v>
      </c>
      <c r="F133" s="6" t="s">
        <v>0</v>
      </c>
      <c r="G133" s="6">
        <v>7</v>
      </c>
      <c r="H133" s="6">
        <v>8000</v>
      </c>
      <c r="I133" s="9">
        <f t="shared" si="4"/>
        <v>56000</v>
      </c>
    </row>
    <row r="134" spans="1:9" x14ac:dyDescent="0.25">
      <c r="A134" s="12">
        <v>133</v>
      </c>
      <c r="B134" s="11" t="s">
        <v>10</v>
      </c>
      <c r="C134" s="6" t="s">
        <v>9</v>
      </c>
      <c r="D134" s="6" t="s">
        <v>1</v>
      </c>
      <c r="E134" s="10">
        <v>45751</v>
      </c>
      <c r="F134" s="6" t="s">
        <v>8</v>
      </c>
      <c r="G134" s="6">
        <v>15</v>
      </c>
      <c r="H134" s="6">
        <v>150</v>
      </c>
      <c r="I134" s="9">
        <f t="shared" si="4"/>
        <v>2250</v>
      </c>
    </row>
    <row r="135" spans="1:9" x14ac:dyDescent="0.25">
      <c r="A135" s="12">
        <v>134</v>
      </c>
      <c r="B135" s="11" t="s">
        <v>10</v>
      </c>
      <c r="C135" s="6" t="s">
        <v>9</v>
      </c>
      <c r="D135" s="6" t="s">
        <v>1</v>
      </c>
      <c r="E135" s="10">
        <v>45751</v>
      </c>
      <c r="F135" s="6" t="s">
        <v>7</v>
      </c>
      <c r="G135" s="6">
        <v>13</v>
      </c>
      <c r="H135" s="6">
        <v>350</v>
      </c>
      <c r="I135" s="9">
        <f t="shared" si="4"/>
        <v>4550</v>
      </c>
    </row>
    <row r="136" spans="1:9" x14ac:dyDescent="0.25">
      <c r="A136" s="12">
        <v>135</v>
      </c>
      <c r="B136" s="11" t="s">
        <v>10</v>
      </c>
      <c r="C136" s="6" t="s">
        <v>9</v>
      </c>
      <c r="D136" s="6" t="s">
        <v>1</v>
      </c>
      <c r="E136" s="10">
        <v>45751</v>
      </c>
      <c r="F136" s="6" t="s">
        <v>6</v>
      </c>
      <c r="G136" s="6">
        <v>10</v>
      </c>
      <c r="H136" s="6">
        <v>1800</v>
      </c>
      <c r="I136" s="9">
        <f t="shared" si="4"/>
        <v>18000</v>
      </c>
    </row>
    <row r="137" spans="1:9" x14ac:dyDescent="0.25">
      <c r="A137" s="12">
        <v>136</v>
      </c>
      <c r="B137" s="11" t="s">
        <v>10</v>
      </c>
      <c r="C137" s="6" t="s">
        <v>9</v>
      </c>
      <c r="D137" s="6" t="s">
        <v>1</v>
      </c>
      <c r="E137" s="10">
        <v>45751</v>
      </c>
      <c r="F137" s="6" t="s">
        <v>5</v>
      </c>
      <c r="G137" s="6">
        <v>15</v>
      </c>
      <c r="H137" s="6">
        <v>2300</v>
      </c>
      <c r="I137" s="9">
        <f t="shared" si="4"/>
        <v>34500</v>
      </c>
    </row>
    <row r="138" spans="1:9" x14ac:dyDescent="0.25">
      <c r="A138" s="12">
        <v>137</v>
      </c>
      <c r="B138" s="11" t="s">
        <v>10</v>
      </c>
      <c r="C138" s="6" t="s">
        <v>9</v>
      </c>
      <c r="D138" s="6" t="s">
        <v>1</v>
      </c>
      <c r="E138" s="10">
        <v>45751</v>
      </c>
      <c r="F138" s="6" t="s">
        <v>4</v>
      </c>
      <c r="G138" s="6">
        <v>16</v>
      </c>
      <c r="H138" s="6">
        <v>4000</v>
      </c>
      <c r="I138" s="9">
        <f t="shared" si="4"/>
        <v>64000</v>
      </c>
    </row>
    <row r="139" spans="1:9" x14ac:dyDescent="0.25">
      <c r="A139" s="12">
        <v>138</v>
      </c>
      <c r="B139" s="11" t="s">
        <v>10</v>
      </c>
      <c r="C139" s="6" t="s">
        <v>9</v>
      </c>
      <c r="D139" s="6" t="s">
        <v>1</v>
      </c>
      <c r="E139" s="10">
        <v>45751</v>
      </c>
      <c r="F139" s="6" t="s">
        <v>0</v>
      </c>
      <c r="G139" s="6">
        <v>9</v>
      </c>
      <c r="H139" s="6">
        <v>8000</v>
      </c>
      <c r="I139" s="9">
        <f t="shared" si="4"/>
        <v>72000</v>
      </c>
    </row>
    <row r="140" spans="1:9" x14ac:dyDescent="0.25">
      <c r="A140" s="12">
        <v>139</v>
      </c>
      <c r="B140" s="11" t="s">
        <v>3</v>
      </c>
      <c r="C140" s="6" t="s">
        <v>2</v>
      </c>
      <c r="D140" s="6" t="s">
        <v>1</v>
      </c>
      <c r="E140" s="10">
        <v>45752</v>
      </c>
      <c r="F140" s="6" t="s">
        <v>8</v>
      </c>
      <c r="G140" s="6">
        <v>13</v>
      </c>
      <c r="H140" s="6">
        <v>150</v>
      </c>
      <c r="I140" s="9">
        <f t="shared" si="4"/>
        <v>1950</v>
      </c>
    </row>
    <row r="141" spans="1:9" x14ac:dyDescent="0.25">
      <c r="A141" s="12">
        <v>140</v>
      </c>
      <c r="B141" s="11" t="s">
        <v>3</v>
      </c>
      <c r="C141" s="6" t="s">
        <v>2</v>
      </c>
      <c r="D141" s="6" t="s">
        <v>1</v>
      </c>
      <c r="E141" s="10">
        <v>45752</v>
      </c>
      <c r="F141" s="6" t="s">
        <v>7</v>
      </c>
      <c r="G141" s="6">
        <v>11</v>
      </c>
      <c r="H141" s="6">
        <v>350</v>
      </c>
      <c r="I141" s="9">
        <f t="shared" si="4"/>
        <v>3850</v>
      </c>
    </row>
    <row r="142" spans="1:9" x14ac:dyDescent="0.25">
      <c r="A142" s="12">
        <v>141</v>
      </c>
      <c r="B142" s="11" t="s">
        <v>3</v>
      </c>
      <c r="C142" s="6" t="s">
        <v>2</v>
      </c>
      <c r="D142" s="6" t="s">
        <v>1</v>
      </c>
      <c r="E142" s="10">
        <v>45752</v>
      </c>
      <c r="F142" s="6" t="s">
        <v>6</v>
      </c>
      <c r="G142" s="6">
        <v>13</v>
      </c>
      <c r="H142" s="6">
        <v>1800</v>
      </c>
      <c r="I142" s="9">
        <f t="shared" si="4"/>
        <v>23400</v>
      </c>
    </row>
    <row r="143" spans="1:9" x14ac:dyDescent="0.25">
      <c r="A143" s="12">
        <v>142</v>
      </c>
      <c r="B143" s="11" t="s">
        <v>3</v>
      </c>
      <c r="C143" s="6" t="s">
        <v>2</v>
      </c>
      <c r="D143" s="6" t="s">
        <v>1</v>
      </c>
      <c r="E143" s="10">
        <v>45752</v>
      </c>
      <c r="F143" s="6" t="s">
        <v>5</v>
      </c>
      <c r="G143" s="6">
        <v>14</v>
      </c>
      <c r="H143" s="6">
        <v>2300</v>
      </c>
      <c r="I143" s="9">
        <f t="shared" si="4"/>
        <v>32200</v>
      </c>
    </row>
    <row r="144" spans="1:9" x14ac:dyDescent="0.25">
      <c r="A144" s="12">
        <v>143</v>
      </c>
      <c r="B144" s="11" t="s">
        <v>3</v>
      </c>
      <c r="C144" s="6" t="s">
        <v>2</v>
      </c>
      <c r="D144" s="6" t="s">
        <v>1</v>
      </c>
      <c r="E144" s="10">
        <v>45752</v>
      </c>
      <c r="F144" s="6" t="s">
        <v>4</v>
      </c>
      <c r="G144" s="6">
        <v>13</v>
      </c>
      <c r="H144" s="6">
        <v>4000</v>
      </c>
      <c r="I144" s="9">
        <f t="shared" si="4"/>
        <v>52000</v>
      </c>
    </row>
    <row r="145" spans="1:9" x14ac:dyDescent="0.25">
      <c r="A145" s="8">
        <v>144</v>
      </c>
      <c r="B145" s="7" t="s">
        <v>3</v>
      </c>
      <c r="C145" s="4" t="s">
        <v>2</v>
      </c>
      <c r="D145" s="6" t="s">
        <v>1</v>
      </c>
      <c r="E145" s="5">
        <v>45752</v>
      </c>
      <c r="F145" s="4" t="s">
        <v>0</v>
      </c>
      <c r="G145" s="4">
        <v>9</v>
      </c>
      <c r="H145" s="4">
        <v>8000</v>
      </c>
      <c r="I145" s="3">
        <f t="shared" si="4"/>
        <v>72000</v>
      </c>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activeCell="C10" sqref="C10"/>
    </sheetView>
  </sheetViews>
  <sheetFormatPr defaultRowHeight="15" x14ac:dyDescent="0.25"/>
  <cols>
    <col min="1" max="1" width="12.28515625" bestFit="1" customWidth="1"/>
    <col min="2" max="2" width="13.140625" customWidth="1"/>
    <col min="3" max="3" width="12.7109375" customWidth="1"/>
    <col min="4" max="5" width="12.28515625" bestFit="1" customWidth="1"/>
    <col min="6" max="6" width="13.140625" bestFit="1" customWidth="1"/>
    <col min="7" max="7" width="39.5703125" customWidth="1"/>
    <col min="9" max="9" width="9.7109375" customWidth="1"/>
    <col min="10" max="10" width="8.85546875" customWidth="1"/>
  </cols>
  <sheetData>
    <row r="1" spans="1:7" ht="63.75" customHeight="1" x14ac:dyDescent="0.25">
      <c r="A1" s="45" t="s">
        <v>37</v>
      </c>
      <c r="B1" s="45"/>
      <c r="C1" s="45"/>
      <c r="D1" s="45"/>
      <c r="E1" s="45"/>
      <c r="F1" s="45"/>
      <c r="G1" s="45"/>
    </row>
    <row r="2" spans="1:7" ht="63.75" customHeight="1" x14ac:dyDescent="0.25">
      <c r="A2" s="16"/>
      <c r="B2" s="16"/>
      <c r="C2" s="16"/>
      <c r="D2" s="16"/>
      <c r="E2" s="16"/>
      <c r="F2" s="16"/>
      <c r="G2" s="16"/>
    </row>
    <row r="3" spans="1:7" ht="21.75" customHeight="1" x14ac:dyDescent="0.25">
      <c r="A3" s="16"/>
      <c r="B3" s="16"/>
      <c r="C3" s="16"/>
      <c r="D3" s="16"/>
      <c r="E3" s="16"/>
      <c r="F3" s="16"/>
      <c r="G3" s="16"/>
    </row>
    <row r="4" spans="1:7" ht="21.75" customHeight="1" x14ac:dyDescent="0.25">
      <c r="A4" s="16"/>
      <c r="B4" s="16"/>
      <c r="C4" s="16"/>
      <c r="D4" s="16"/>
      <c r="E4" s="16"/>
      <c r="F4" s="16"/>
      <c r="G4" s="16"/>
    </row>
    <row r="5" spans="1:7" ht="21.75" customHeight="1" x14ac:dyDescent="0.25">
      <c r="A5" s="16"/>
      <c r="B5" s="16"/>
      <c r="C5" s="16"/>
      <c r="D5" s="16"/>
      <c r="E5" s="16"/>
      <c r="F5" s="16"/>
      <c r="G5" s="16"/>
    </row>
    <row r="6" spans="1:7" x14ac:dyDescent="0.25">
      <c r="A6" s="25" t="s">
        <v>33</v>
      </c>
      <c r="B6" s="26" t="s">
        <v>24</v>
      </c>
      <c r="C6" s="27" t="s">
        <v>29</v>
      </c>
      <c r="D6" s="16"/>
      <c r="E6" s="25" t="s">
        <v>35</v>
      </c>
      <c r="F6" s="38" t="s">
        <v>26</v>
      </c>
      <c r="G6" s="39" t="s">
        <v>30</v>
      </c>
    </row>
    <row r="7" spans="1:7" x14ac:dyDescent="0.25">
      <c r="A7" s="28"/>
      <c r="B7" s="29"/>
      <c r="C7" s="30"/>
      <c r="D7" s="16"/>
      <c r="E7" s="28"/>
      <c r="F7" s="33" t="s">
        <v>7</v>
      </c>
      <c r="G7" s="40">
        <v>217</v>
      </c>
    </row>
    <row r="8" spans="1:7" x14ac:dyDescent="0.25">
      <c r="A8" s="28"/>
      <c r="B8" s="31" t="s">
        <v>26</v>
      </c>
      <c r="C8" s="32" t="s">
        <v>28</v>
      </c>
      <c r="D8" s="17"/>
      <c r="E8" s="28"/>
      <c r="F8" s="33" t="s">
        <v>0</v>
      </c>
      <c r="G8" s="40">
        <v>244</v>
      </c>
    </row>
    <row r="9" spans="1:7" x14ac:dyDescent="0.25">
      <c r="A9" s="28"/>
      <c r="B9" s="33" t="s">
        <v>18</v>
      </c>
      <c r="C9" s="34">
        <v>1014550</v>
      </c>
      <c r="D9" s="18"/>
      <c r="E9" s="28"/>
      <c r="F9" s="33" t="s">
        <v>4</v>
      </c>
      <c r="G9" s="40">
        <v>244</v>
      </c>
    </row>
    <row r="10" spans="1:7" x14ac:dyDescent="0.25">
      <c r="A10" s="28"/>
      <c r="B10" s="33" t="s">
        <v>17</v>
      </c>
      <c r="C10" s="34">
        <v>926100</v>
      </c>
      <c r="D10" s="18"/>
      <c r="E10" s="28"/>
      <c r="F10" s="33" t="s">
        <v>8</v>
      </c>
      <c r="G10" s="40">
        <v>218</v>
      </c>
    </row>
    <row r="11" spans="1:7" x14ac:dyDescent="0.25">
      <c r="A11" s="28"/>
      <c r="B11" s="33" t="s">
        <v>16</v>
      </c>
      <c r="C11" s="34">
        <v>1108400</v>
      </c>
      <c r="D11" s="18"/>
      <c r="E11" s="28"/>
      <c r="F11" s="33" t="s">
        <v>6</v>
      </c>
      <c r="G11" s="40">
        <v>248</v>
      </c>
    </row>
    <row r="12" spans="1:7" x14ac:dyDescent="0.25">
      <c r="A12" s="28"/>
      <c r="B12" s="33" t="s">
        <v>1</v>
      </c>
      <c r="C12" s="34">
        <v>1038900</v>
      </c>
      <c r="D12" s="18"/>
      <c r="E12" s="28"/>
      <c r="F12" s="33" t="s">
        <v>5</v>
      </c>
      <c r="G12" s="40">
        <v>263</v>
      </c>
    </row>
    <row r="13" spans="1:7" x14ac:dyDescent="0.25">
      <c r="A13" s="35"/>
      <c r="B13" s="36" t="s">
        <v>27</v>
      </c>
      <c r="C13" s="37">
        <v>4087950</v>
      </c>
      <c r="D13" s="19"/>
      <c r="E13" s="35"/>
      <c r="F13" s="36" t="s">
        <v>27</v>
      </c>
      <c r="G13" s="41">
        <v>1434</v>
      </c>
    </row>
    <row r="14" spans="1:7" x14ac:dyDescent="0.25">
      <c r="A14" s="16"/>
      <c r="B14" s="24"/>
      <c r="C14" s="20"/>
      <c r="D14" s="20"/>
      <c r="E14" s="16"/>
      <c r="F14" s="16"/>
      <c r="G14" s="16"/>
    </row>
    <row r="15" spans="1:7" x14ac:dyDescent="0.25">
      <c r="A15" s="16"/>
      <c r="B15" s="16"/>
      <c r="C15" s="16"/>
      <c r="D15" s="16"/>
      <c r="E15" s="16"/>
      <c r="F15" s="16"/>
      <c r="G15" s="16"/>
    </row>
    <row r="16" spans="1:7" x14ac:dyDescent="0.25">
      <c r="A16" s="16"/>
      <c r="B16" s="16"/>
      <c r="C16" s="16"/>
      <c r="D16" s="21"/>
      <c r="E16" s="16"/>
      <c r="F16" s="16"/>
      <c r="G16" s="16"/>
    </row>
    <row r="17" spans="1:7" x14ac:dyDescent="0.25">
      <c r="A17" s="25" t="s">
        <v>34</v>
      </c>
      <c r="B17" s="38" t="s">
        <v>28</v>
      </c>
      <c r="C17" s="39"/>
      <c r="D17" s="22"/>
      <c r="E17" s="25" t="s">
        <v>36</v>
      </c>
      <c r="F17" s="38" t="s">
        <v>26</v>
      </c>
      <c r="G17" s="44" t="s">
        <v>28</v>
      </c>
    </row>
    <row r="18" spans="1:7" x14ac:dyDescent="0.25">
      <c r="A18" s="35"/>
      <c r="B18" s="42">
        <v>4087950</v>
      </c>
      <c r="C18" s="43">
        <f>GETPIVOTDATA("Total",$B$17)</f>
        <v>4087950</v>
      </c>
      <c r="D18" s="16"/>
      <c r="E18" s="28"/>
      <c r="F18" s="33" t="s">
        <v>12</v>
      </c>
      <c r="G18" s="34">
        <v>1203900</v>
      </c>
    </row>
    <row r="19" spans="1:7" x14ac:dyDescent="0.25">
      <c r="A19" s="16"/>
      <c r="B19" s="16"/>
      <c r="C19" s="16"/>
      <c r="D19" s="16"/>
      <c r="E19" s="28"/>
      <c r="F19" s="33" t="s">
        <v>2</v>
      </c>
      <c r="G19" s="34">
        <v>1340900</v>
      </c>
    </row>
    <row r="20" spans="1:7" x14ac:dyDescent="0.25">
      <c r="A20" s="16"/>
      <c r="B20" s="16"/>
      <c r="C20" s="16"/>
      <c r="D20" s="17"/>
      <c r="E20" s="28"/>
      <c r="F20" s="33" t="s">
        <v>9</v>
      </c>
      <c r="G20" s="34">
        <v>1543150</v>
      </c>
    </row>
    <row r="21" spans="1:7" x14ac:dyDescent="0.25">
      <c r="A21" s="16"/>
      <c r="B21" s="16"/>
      <c r="C21" s="16"/>
      <c r="D21" s="23"/>
      <c r="E21" s="35"/>
      <c r="F21" s="36" t="s">
        <v>27</v>
      </c>
      <c r="G21" s="37">
        <v>4087950</v>
      </c>
    </row>
    <row r="22" spans="1:7" x14ac:dyDescent="0.25">
      <c r="A22" s="16"/>
      <c r="B22" s="16"/>
      <c r="C22" s="16"/>
      <c r="D22" s="23"/>
      <c r="E22" s="16"/>
      <c r="F22" s="16"/>
      <c r="G22" s="16"/>
    </row>
    <row r="23" spans="1:7" x14ac:dyDescent="0.25">
      <c r="A23" s="16"/>
      <c r="B23" s="16"/>
      <c r="C23" s="16"/>
      <c r="D23" s="23"/>
      <c r="E23" s="16"/>
      <c r="F23" s="16"/>
      <c r="G23" s="16"/>
    </row>
    <row r="24" spans="1:7" x14ac:dyDescent="0.25">
      <c r="A24" s="16"/>
      <c r="B24" s="16"/>
      <c r="C24" s="16"/>
      <c r="D24" s="23"/>
      <c r="E24" s="16"/>
      <c r="F24" s="16"/>
      <c r="G24" s="16"/>
    </row>
    <row r="25" spans="1:7" x14ac:dyDescent="0.25">
      <c r="A25" s="16"/>
      <c r="B25" s="16"/>
      <c r="C25" s="16"/>
      <c r="D25" s="23"/>
      <c r="E25" s="16"/>
      <c r="F25" s="16"/>
      <c r="G25" s="16"/>
    </row>
    <row r="26" spans="1:7" x14ac:dyDescent="0.25">
      <c r="A26" s="16"/>
      <c r="B26" s="16"/>
      <c r="C26" s="16"/>
      <c r="D26" s="23"/>
      <c r="E26" s="16"/>
      <c r="F26" s="16"/>
      <c r="G26" s="16"/>
    </row>
    <row r="27" spans="1:7" x14ac:dyDescent="0.25">
      <c r="A27" s="16"/>
      <c r="B27" s="16"/>
      <c r="C27" s="16"/>
      <c r="D27" s="23"/>
      <c r="E27" s="16"/>
      <c r="F27" s="16"/>
      <c r="G27" s="16"/>
    </row>
    <row r="28" spans="1:7" x14ac:dyDescent="0.25">
      <c r="A28" s="16"/>
      <c r="B28" s="16"/>
      <c r="C28" s="16"/>
      <c r="D28" s="16"/>
      <c r="E28" s="16"/>
      <c r="F28" s="16"/>
      <c r="G28" s="16"/>
    </row>
  </sheetData>
  <mergeCells count="1">
    <mergeCell ref="A1:G1"/>
  </mergeCells>
  <pageMargins left="0.7" right="0.7" top="0.75" bottom="0.75" header="0.3" footer="0.3"/>
  <pageSetup paperSize="9" orientation="portrait" horizontalDpi="0" verticalDpi="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Normal="100" workbookViewId="0">
      <selection activeCell="Y23" sqref="Y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2025-12-30T16:15:28Z</dcterms:modified>
</cp:coreProperties>
</file>