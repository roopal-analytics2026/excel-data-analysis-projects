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hidePivotFieldList="1" defaultThemeVersion="124226"/>
  <bookViews>
    <workbookView xWindow="240" yWindow="105" windowWidth="14805" windowHeight="8010" activeTab="1"/>
  </bookViews>
  <sheets>
    <sheet name="Raw_Data" sheetId="1" r:id="rId1"/>
    <sheet name="Pivot_Report Sheet" sheetId="2" r:id="rId2"/>
  </sheets>
  <definedNames>
    <definedName name="_xlnm._FilterDatabase" localSheetId="0" hidden="1">Raw_Data!$A$1:$D$113</definedName>
  </definedNames>
  <calcPr calcId="152511"/>
  <pivotCaches>
    <pivotCache cacheId="0" r:id="rId3"/>
  </pivotCaches>
</workbook>
</file>

<file path=xl/calcChain.xml><?xml version="1.0" encoding="utf-8"?>
<calcChain xmlns="http://schemas.openxmlformats.org/spreadsheetml/2006/main">
  <c r="F17" i="2" l="1"/>
  <c r="F16" i="2"/>
  <c r="F15" i="2"/>
</calcChain>
</file>

<file path=xl/sharedStrings.xml><?xml version="1.0" encoding="utf-8"?>
<sst xmlns="http://schemas.openxmlformats.org/spreadsheetml/2006/main" count="248" uniqueCount="27">
  <si>
    <t>Product</t>
  </si>
  <si>
    <t>Region</t>
  </si>
  <si>
    <t>Laptop</t>
  </si>
  <si>
    <t>East</t>
  </si>
  <si>
    <t>Sales</t>
  </si>
  <si>
    <t>Phone</t>
  </si>
  <si>
    <t>South</t>
  </si>
  <si>
    <t>Desk</t>
  </si>
  <si>
    <t>North</t>
  </si>
  <si>
    <t>Chair</t>
  </si>
  <si>
    <t>West</t>
  </si>
  <si>
    <t>Tablet</t>
  </si>
  <si>
    <t>Monitor</t>
  </si>
  <si>
    <t>Printer</t>
  </si>
  <si>
    <t>Date</t>
  </si>
  <si>
    <t>Row Labels</t>
  </si>
  <si>
    <t>Grand Total</t>
  </si>
  <si>
    <t>(All)</t>
  </si>
  <si>
    <t>Sum of Sales</t>
  </si>
  <si>
    <t>Sales Summary Report</t>
  </si>
  <si>
    <t>Data Updates Automatically using Excel Macro</t>
  </si>
  <si>
    <t>KPI</t>
  </si>
  <si>
    <t>Formula</t>
  </si>
  <si>
    <t>Total Sales</t>
  </si>
  <si>
    <t>Highest Product</t>
  </si>
  <si>
    <t>Lowest Peoduct</t>
  </si>
  <si>
    <t>Last Updated on : 28 / 12/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</si>
</sst>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₹&quot;\ #,##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 applyAlignment="1"/>
    <xf numFmtId="0" fontId="0" fillId="3" borderId="1" xfId="0" applyFill="1" applyBorder="1" applyAlignment="1">
      <alignment horizontal="left"/>
    </xf>
    <xf numFmtId="14" fontId="0" fillId="4" borderId="0" xfId="0" applyNumberFormat="1" applyFill="1"/>
    <xf numFmtId="0" fontId="4" fillId="3" borderId="1" xfId="0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164" fontId="0" fillId="3" borderId="1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0" fillId="3" borderId="0" xfId="0" applyFont="1" applyFill="1" applyBorder="1" applyAlignment="1">
      <alignment horizontal="center" vertical="center"/>
    </xf>
    <xf numFmtId="164" fontId="0" fillId="3" borderId="0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10" fillId="6" borderId="4" xfId="0" applyFont="1" applyFill="1" applyBorder="1"/>
    <xf numFmtId="0" fontId="10" fillId="6" borderId="6" xfId="0" applyFont="1" applyFill="1" applyBorder="1"/>
    <xf numFmtId="164" fontId="4" fillId="6" borderId="5" xfId="0" applyNumberFormat="1" applyFont="1" applyFill="1" applyBorder="1" applyAlignment="1">
      <alignment horizontal="center" vertical="center"/>
    </xf>
    <xf numFmtId="164" fontId="4" fillId="6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4">
    <dxf>
      <font>
        <b/>
      </font>
    </dxf>
    <dxf>
      <font>
        <b val="0"/>
      </font>
    </dxf>
    <dxf>
      <alignment horizontal="left" readingOrder="0"/>
    </dxf>
    <dxf>
      <font>
        <b/>
      </font>
    </dxf>
    <dxf>
      <font>
        <b val="0"/>
      </font>
    </dxf>
    <dxf>
      <alignment horizontal="left" readingOrder="0"/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</font>
    </dxf>
    <dxf>
      <font>
        <b/>
      </font>
    </dxf>
    <dxf>
      <alignment horizontal="left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alignment vertical="center" readingOrder="0"/>
    </dxf>
    <dxf>
      <alignment horizontal="center" readingOrder="0"/>
    </dxf>
    <dxf>
      <numFmt numFmtId="164" formatCode="&quot;₹&quot;\ 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21" formatCode="dd\-m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6.xlsx.xlsm]Pivot_Report Sheet!PivotTable1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'Pivot_Report Sheet'!$B$5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'Pivot_Report Sheet'!$A$6:$A$13</c:f>
              <c:strCache>
                <c:ptCount val="7"/>
                <c:pt idx="0">
                  <c:v>Chair</c:v>
                </c:pt>
                <c:pt idx="1">
                  <c:v>Desk</c:v>
                </c:pt>
                <c:pt idx="2">
                  <c:v>Laptop</c:v>
                </c:pt>
                <c:pt idx="3">
                  <c:v>Monitor</c:v>
                </c:pt>
                <c:pt idx="4">
                  <c:v>Phone</c:v>
                </c:pt>
                <c:pt idx="5">
                  <c:v>Printer</c:v>
                </c:pt>
                <c:pt idx="6">
                  <c:v>Tablet</c:v>
                </c:pt>
              </c:strCache>
            </c:strRef>
          </c:cat>
          <c:val>
            <c:numRef>
              <c:f>'Pivot_Report Sheet'!$B$6:$B$13</c:f>
              <c:numCache>
                <c:formatCode>#,##0</c:formatCode>
                <c:ptCount val="7"/>
                <c:pt idx="0">
                  <c:v>399000</c:v>
                </c:pt>
                <c:pt idx="1">
                  <c:v>456000</c:v>
                </c:pt>
                <c:pt idx="2">
                  <c:v>947000</c:v>
                </c:pt>
                <c:pt idx="3">
                  <c:v>722000</c:v>
                </c:pt>
                <c:pt idx="4">
                  <c:v>1270000</c:v>
                </c:pt>
                <c:pt idx="5">
                  <c:v>683000</c:v>
                </c:pt>
                <c:pt idx="6">
                  <c:v>1440000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010272"/>
        <c:axId val="261106408"/>
      </c:barChart>
      <c:catAx>
        <c:axId val="25801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106408"/>
        <c:crosses val="autoZero"/>
        <c:auto val="1"/>
        <c:lblAlgn val="ctr"/>
        <c:lblOffset val="100"/>
        <c:noMultiLvlLbl val="0"/>
      </c:catAx>
      <c:valAx>
        <c:axId val="26110640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5801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198439</xdr:colOff>
      <xdr:row>6</xdr:row>
      <xdr:rowOff>65942</xdr:rowOff>
    </xdr:from>
    <xdr:to>
      <xdr:col>13</xdr:col>
      <xdr:colOff>468313</xdr:colOff>
      <xdr:row>18</xdr:row>
      <xdr:rowOff>73269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725365</xdr:colOff>
      <xdr:row>2</xdr:row>
      <xdr:rowOff>76343</xdr:rowOff>
    </xdr:from>
    <xdr:to>
      <xdr:col>12</xdr:col>
      <xdr:colOff>175847</xdr:colOff>
      <xdr:row>4</xdr:row>
      <xdr:rowOff>65943</xdr:rowOff>
    </xdr:to>
    <xdr:sp macro="" textlink="">
      <xdr:nvSpPr>
        <xdr:cNvPr id="3" name="Rectangle 2"/>
        <xdr:cNvSpPr/>
      </xdr:nvSpPr>
      <xdr:spPr>
        <a:xfrm>
          <a:off x="3604846" y="530612"/>
          <a:ext cx="5004289" cy="370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>
              <a:solidFill>
                <a:schemeClr val="tx2"/>
              </a:solidFill>
            </a:rPr>
            <a:t>Automated</a:t>
          </a:r>
          <a:r>
            <a:rPr lang="en-IN" sz="1800" b="1">
              <a:solidFill>
                <a:schemeClr val="tx2"/>
              </a:solidFill>
            </a:rPr>
            <a:t> </a:t>
          </a:r>
          <a:r>
            <a:rPr lang="en-IN" sz="2400" b="1">
              <a:solidFill>
                <a:schemeClr val="tx2"/>
              </a:solidFill>
            </a:rPr>
            <a:t>Sales</a:t>
          </a:r>
          <a:r>
            <a:rPr lang="en-IN" sz="1800" b="1">
              <a:solidFill>
                <a:schemeClr val="tx2"/>
              </a:solidFill>
            </a:rPr>
            <a:t> </a:t>
          </a:r>
          <a:r>
            <a:rPr lang="en-IN" sz="2400" b="1">
              <a:solidFill>
                <a:schemeClr val="tx2"/>
              </a:solidFill>
            </a:rPr>
            <a:t>Dashboard</a:t>
          </a:r>
          <a:r>
            <a:rPr lang="en-IN" sz="2000" b="1">
              <a:solidFill>
                <a:schemeClr val="tx2"/>
              </a:solidFill>
            </a:rPr>
            <a:t/>
          </a:r>
          <a:br>
            <a:rPr lang="en-IN" sz="2000" b="1">
              <a:solidFill>
                <a:schemeClr val="tx2"/>
              </a:solidFill>
            </a:rPr>
          </a:br>
          <a:endParaRPr lang="en-IN" sz="1600" b="1">
            <a:solidFill>
              <a:schemeClr val="tx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95250</xdr:rowOff>
        </xdr:from>
        <xdr:to>
          <xdr:col>9</xdr:col>
          <xdr:colOff>447675</xdr:colOff>
          <xdr:row>1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Report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ir13\Desktop\Roopal%20work\Projects\Project%206.xlsx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6019.580597453707" createdVersion="5" refreshedVersion="5" minRefreshableVersion="3" recordCount="112">
  <cacheSource type="worksheet">
    <worksheetSource name="Table1" r:id="rId2"/>
  </cacheSource>
  <cacheFields count="4">
    <cacheField name="Date" numFmtId="16">
      <sharedItems containsSemiMixedTypes="0" containsNonDate="0" containsDate="1" containsString="0" minDate="2025-01-01T00:00:00" maxDate="2025-04-29T00:00:00"/>
    </cacheField>
    <cacheField name="Product" numFmtId="0">
      <sharedItems count="7">
        <s v="Laptop"/>
        <s v="Phone"/>
        <s v="Desk"/>
        <s v="Chair"/>
        <s v="Tablet"/>
        <s v="Monitor"/>
        <s v="Printer"/>
      </sharedItems>
    </cacheField>
    <cacheField name="Region" numFmtId="0">
      <sharedItems count="4">
        <s v="East"/>
        <s v="South"/>
        <s v="North"/>
        <s v="West"/>
      </sharedItems>
    </cacheField>
    <cacheField name="Sales" numFmtId="3">
      <sharedItems containsSemiMixedTypes="0" containsString="0" containsNumber="1" containsInteger="1" minValue="12000" maxValue="1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2">
  <r>
    <d v="2025-01-01T00:00:00"/>
    <x v="0"/>
    <x v="0"/>
    <n v="75000"/>
  </r>
  <r>
    <d v="2025-01-02T00:00:00"/>
    <x v="1"/>
    <x v="1"/>
    <n v="80000"/>
  </r>
  <r>
    <d v="2025-01-03T00:00:00"/>
    <x v="2"/>
    <x v="2"/>
    <n v="30000"/>
  </r>
  <r>
    <d v="2025-01-04T00:00:00"/>
    <x v="3"/>
    <x v="3"/>
    <n v="15000"/>
  </r>
  <r>
    <d v="2025-01-05T00:00:00"/>
    <x v="4"/>
    <x v="3"/>
    <n v="125000"/>
  </r>
  <r>
    <d v="2025-01-06T00:00:00"/>
    <x v="5"/>
    <x v="2"/>
    <n v="50000"/>
  </r>
  <r>
    <d v="2025-01-07T00:00:00"/>
    <x v="6"/>
    <x v="1"/>
    <n v="35000"/>
  </r>
  <r>
    <d v="2025-01-08T00:00:00"/>
    <x v="3"/>
    <x v="2"/>
    <n v="20000"/>
  </r>
  <r>
    <d v="2025-01-09T00:00:00"/>
    <x v="3"/>
    <x v="1"/>
    <n v="30000"/>
  </r>
  <r>
    <d v="2025-01-10T00:00:00"/>
    <x v="2"/>
    <x v="3"/>
    <n v="25000"/>
  </r>
  <r>
    <d v="2025-01-11T00:00:00"/>
    <x v="2"/>
    <x v="0"/>
    <n v="20000"/>
  </r>
  <r>
    <d v="2025-01-12T00:00:00"/>
    <x v="1"/>
    <x v="0"/>
    <n v="25000"/>
  </r>
  <r>
    <d v="2025-01-13T00:00:00"/>
    <x v="1"/>
    <x v="2"/>
    <n v="30000"/>
  </r>
  <r>
    <d v="2025-01-14T00:00:00"/>
    <x v="4"/>
    <x v="1"/>
    <n v="60000"/>
  </r>
  <r>
    <d v="2025-01-15T00:00:00"/>
    <x v="2"/>
    <x v="1"/>
    <n v="35000"/>
  </r>
  <r>
    <d v="2025-01-16T00:00:00"/>
    <x v="3"/>
    <x v="0"/>
    <n v="24000"/>
  </r>
  <r>
    <d v="2025-01-17T00:00:00"/>
    <x v="0"/>
    <x v="3"/>
    <n v="35000"/>
  </r>
  <r>
    <d v="2025-01-18T00:00:00"/>
    <x v="1"/>
    <x v="3"/>
    <n v="40000"/>
  </r>
  <r>
    <d v="2025-01-19T00:00:00"/>
    <x v="0"/>
    <x v="2"/>
    <n v="32000"/>
  </r>
  <r>
    <d v="2025-01-20T00:00:00"/>
    <x v="0"/>
    <x v="1"/>
    <n v="30000"/>
  </r>
  <r>
    <d v="2025-01-21T00:00:00"/>
    <x v="4"/>
    <x v="2"/>
    <n v="50000"/>
  </r>
  <r>
    <d v="2025-01-22T00:00:00"/>
    <x v="4"/>
    <x v="0"/>
    <n v="60000"/>
  </r>
  <r>
    <d v="2025-01-23T00:00:00"/>
    <x v="5"/>
    <x v="0"/>
    <n v="50000"/>
  </r>
  <r>
    <d v="2025-01-24T00:00:00"/>
    <x v="5"/>
    <x v="3"/>
    <n v="42000"/>
  </r>
  <r>
    <d v="2025-01-25T00:00:00"/>
    <x v="5"/>
    <x v="1"/>
    <n v="35000"/>
  </r>
  <r>
    <d v="2025-01-26T00:00:00"/>
    <x v="6"/>
    <x v="3"/>
    <n v="50000"/>
  </r>
  <r>
    <d v="2025-01-27T00:00:00"/>
    <x v="6"/>
    <x v="2"/>
    <n v="35000"/>
  </r>
  <r>
    <d v="2025-01-28T00:00:00"/>
    <x v="6"/>
    <x v="0"/>
    <n v="42000"/>
  </r>
  <r>
    <d v="2025-02-01T00:00:00"/>
    <x v="1"/>
    <x v="3"/>
    <n v="100000"/>
  </r>
  <r>
    <d v="2025-02-02T00:00:00"/>
    <x v="0"/>
    <x v="2"/>
    <n v="90000"/>
  </r>
  <r>
    <d v="2025-02-03T00:00:00"/>
    <x v="4"/>
    <x v="3"/>
    <n v="80000"/>
  </r>
  <r>
    <d v="2025-02-04T00:00:00"/>
    <x v="4"/>
    <x v="1"/>
    <n v="100000"/>
  </r>
  <r>
    <d v="2025-02-05T00:00:00"/>
    <x v="2"/>
    <x v="2"/>
    <n v="30000"/>
  </r>
  <r>
    <d v="2025-02-06T00:00:00"/>
    <x v="1"/>
    <x v="2"/>
    <n v="30000"/>
  </r>
  <r>
    <d v="2025-02-07T00:00:00"/>
    <x v="2"/>
    <x v="0"/>
    <n v="35000"/>
  </r>
  <r>
    <d v="2025-02-08T00:00:00"/>
    <x v="2"/>
    <x v="3"/>
    <n v="24000"/>
  </r>
  <r>
    <d v="2025-02-09T00:00:00"/>
    <x v="5"/>
    <x v="2"/>
    <n v="35000"/>
  </r>
  <r>
    <d v="2025-02-10T00:00:00"/>
    <x v="4"/>
    <x v="2"/>
    <n v="60000"/>
  </r>
  <r>
    <d v="2025-02-11T00:00:00"/>
    <x v="3"/>
    <x v="1"/>
    <n v="32000"/>
  </r>
  <r>
    <d v="2025-02-12T00:00:00"/>
    <x v="3"/>
    <x v="2"/>
    <n v="30000"/>
  </r>
  <r>
    <d v="2025-02-13T00:00:00"/>
    <x v="6"/>
    <x v="1"/>
    <n v="35000"/>
  </r>
  <r>
    <d v="2025-02-14T00:00:00"/>
    <x v="0"/>
    <x v="0"/>
    <n v="40000"/>
  </r>
  <r>
    <d v="2025-02-15T00:00:00"/>
    <x v="6"/>
    <x v="0"/>
    <n v="50000"/>
  </r>
  <r>
    <d v="2025-02-16T00:00:00"/>
    <x v="6"/>
    <x v="3"/>
    <n v="42000"/>
  </r>
  <r>
    <d v="2025-02-17T00:00:00"/>
    <x v="0"/>
    <x v="3"/>
    <n v="70000"/>
  </r>
  <r>
    <d v="2025-02-18T00:00:00"/>
    <x v="6"/>
    <x v="2"/>
    <n v="45000"/>
  </r>
  <r>
    <d v="2025-02-19T00:00:00"/>
    <x v="0"/>
    <x v="1"/>
    <n v="70000"/>
  </r>
  <r>
    <d v="2025-02-20T00:00:00"/>
    <x v="4"/>
    <x v="0"/>
    <n v="100000"/>
  </r>
  <r>
    <d v="2025-02-21T00:00:00"/>
    <x v="3"/>
    <x v="0"/>
    <n v="15000"/>
  </r>
  <r>
    <d v="2025-02-22T00:00:00"/>
    <x v="2"/>
    <x v="1"/>
    <n v="24000"/>
  </r>
  <r>
    <d v="2025-02-23T00:00:00"/>
    <x v="5"/>
    <x v="3"/>
    <n v="35000"/>
  </r>
  <r>
    <d v="2025-02-24T00:00:00"/>
    <x v="5"/>
    <x v="0"/>
    <n v="40000"/>
  </r>
  <r>
    <d v="2025-02-25T00:00:00"/>
    <x v="3"/>
    <x v="3"/>
    <n v="32000"/>
  </r>
  <r>
    <d v="2025-02-26T00:00:00"/>
    <x v="5"/>
    <x v="1"/>
    <n v="30000"/>
  </r>
  <r>
    <d v="2025-02-27T00:00:00"/>
    <x v="1"/>
    <x v="1"/>
    <n v="35000"/>
  </r>
  <r>
    <d v="2025-02-28T00:00:00"/>
    <x v="1"/>
    <x v="0"/>
    <n v="40000"/>
  </r>
  <r>
    <d v="2025-03-01T00:00:00"/>
    <x v="0"/>
    <x v="1"/>
    <n v="50000"/>
  </r>
  <r>
    <d v="2025-03-02T00:00:00"/>
    <x v="4"/>
    <x v="3"/>
    <n v="70000"/>
  </r>
  <r>
    <d v="2025-03-03T00:00:00"/>
    <x v="4"/>
    <x v="1"/>
    <n v="80000"/>
  </r>
  <r>
    <d v="2025-03-04T00:00:00"/>
    <x v="1"/>
    <x v="0"/>
    <n v="125000"/>
  </r>
  <r>
    <d v="2025-03-05T00:00:00"/>
    <x v="3"/>
    <x v="0"/>
    <n v="12000"/>
  </r>
  <r>
    <d v="2025-03-06T00:00:00"/>
    <x v="1"/>
    <x v="1"/>
    <n v="125000"/>
  </r>
  <r>
    <d v="2025-03-07T00:00:00"/>
    <x v="0"/>
    <x v="2"/>
    <n v="60000"/>
  </r>
  <r>
    <d v="2025-03-08T00:00:00"/>
    <x v="0"/>
    <x v="3"/>
    <n v="60000"/>
  </r>
  <r>
    <d v="2025-03-09T00:00:00"/>
    <x v="1"/>
    <x v="3"/>
    <n v="100000"/>
  </r>
  <r>
    <d v="2025-03-10T00:00:00"/>
    <x v="3"/>
    <x v="3"/>
    <n v="18000"/>
  </r>
  <r>
    <d v="2025-03-11T00:00:00"/>
    <x v="2"/>
    <x v="1"/>
    <n v="30000"/>
  </r>
  <r>
    <d v="2025-03-12T00:00:00"/>
    <x v="3"/>
    <x v="2"/>
    <n v="25000"/>
  </r>
  <r>
    <d v="2025-03-13T00:00:00"/>
    <x v="5"/>
    <x v="1"/>
    <n v="55000"/>
  </r>
  <r>
    <d v="2025-03-14T00:00:00"/>
    <x v="4"/>
    <x v="2"/>
    <n v="125000"/>
  </r>
  <r>
    <d v="2025-03-15T00:00:00"/>
    <x v="3"/>
    <x v="1"/>
    <n v="35000"/>
  </r>
  <r>
    <d v="2025-03-16T00:00:00"/>
    <x v="1"/>
    <x v="2"/>
    <n v="80000"/>
  </r>
  <r>
    <d v="2025-03-17T00:00:00"/>
    <x v="5"/>
    <x v="3"/>
    <n v="40000"/>
  </r>
  <r>
    <d v="2025-03-18T00:00:00"/>
    <x v="4"/>
    <x v="0"/>
    <n v="120000"/>
  </r>
  <r>
    <d v="2025-03-19T00:00:00"/>
    <x v="2"/>
    <x v="3"/>
    <n v="30000"/>
  </r>
  <r>
    <d v="2025-03-20T00:00:00"/>
    <x v="2"/>
    <x v="2"/>
    <n v="35000"/>
  </r>
  <r>
    <d v="2025-03-21T00:00:00"/>
    <x v="6"/>
    <x v="1"/>
    <n v="35000"/>
  </r>
  <r>
    <d v="2025-03-22T00:00:00"/>
    <x v="5"/>
    <x v="0"/>
    <n v="40000"/>
  </r>
  <r>
    <d v="2025-03-23T00:00:00"/>
    <x v="5"/>
    <x v="2"/>
    <n v="55000"/>
  </r>
  <r>
    <d v="2025-03-24T00:00:00"/>
    <x v="2"/>
    <x v="0"/>
    <n v="25000"/>
  </r>
  <r>
    <d v="2025-03-25T00:00:00"/>
    <x v="0"/>
    <x v="0"/>
    <n v="60000"/>
  </r>
  <r>
    <d v="2025-03-26T00:00:00"/>
    <x v="6"/>
    <x v="0"/>
    <n v="42000"/>
  </r>
  <r>
    <d v="2025-03-27T00:00:00"/>
    <x v="6"/>
    <x v="3"/>
    <n v="30000"/>
  </r>
  <r>
    <d v="2025-03-28T00:00:00"/>
    <x v="6"/>
    <x v="2"/>
    <n v="50000"/>
  </r>
  <r>
    <d v="2025-04-01T00:00:00"/>
    <x v="1"/>
    <x v="1"/>
    <n v="90000"/>
  </r>
  <r>
    <d v="2025-04-02T00:00:00"/>
    <x v="1"/>
    <x v="2"/>
    <n v="100000"/>
  </r>
  <r>
    <d v="2025-04-03T00:00:00"/>
    <x v="1"/>
    <x v="0"/>
    <n v="150000"/>
  </r>
  <r>
    <d v="2025-04-04T00:00:00"/>
    <x v="4"/>
    <x v="3"/>
    <n v="125000"/>
  </r>
  <r>
    <d v="2025-04-05T00:00:00"/>
    <x v="4"/>
    <x v="1"/>
    <n v="80000"/>
  </r>
  <r>
    <d v="2025-04-06T00:00:00"/>
    <x v="0"/>
    <x v="2"/>
    <n v="65000"/>
  </r>
  <r>
    <d v="2025-04-07T00:00:00"/>
    <x v="0"/>
    <x v="0"/>
    <n v="65000"/>
  </r>
  <r>
    <d v="2025-04-08T00:00:00"/>
    <x v="5"/>
    <x v="2"/>
    <n v="55000"/>
  </r>
  <r>
    <d v="2025-04-09T00:00:00"/>
    <x v="2"/>
    <x v="2"/>
    <n v="40000"/>
  </r>
  <r>
    <d v="2025-04-10T00:00:00"/>
    <x v="3"/>
    <x v="2"/>
    <n v="18000"/>
  </r>
  <r>
    <d v="2025-04-11T00:00:00"/>
    <x v="2"/>
    <x v="0"/>
    <n v="25000"/>
  </r>
  <r>
    <d v="2025-04-12T00:00:00"/>
    <x v="6"/>
    <x v="3"/>
    <n v="35000"/>
  </r>
  <r>
    <d v="2025-04-13T00:00:00"/>
    <x v="5"/>
    <x v="3"/>
    <n v="60000"/>
  </r>
  <r>
    <d v="2025-04-14T00:00:00"/>
    <x v="3"/>
    <x v="3"/>
    <n v="20000"/>
  </r>
  <r>
    <d v="2025-04-15T00:00:00"/>
    <x v="0"/>
    <x v="1"/>
    <n v="80000"/>
  </r>
  <r>
    <d v="2025-04-16T00:00:00"/>
    <x v="1"/>
    <x v="3"/>
    <n v="120000"/>
  </r>
  <r>
    <d v="2025-04-17T00:00:00"/>
    <x v="0"/>
    <x v="2"/>
    <n v="65000"/>
  </r>
  <r>
    <d v="2025-04-18T00:00:00"/>
    <x v="6"/>
    <x v="1"/>
    <n v="65000"/>
  </r>
  <r>
    <d v="2025-04-19T00:00:00"/>
    <x v="5"/>
    <x v="0"/>
    <n v="50000"/>
  </r>
  <r>
    <d v="2025-04-20T00:00:00"/>
    <x v="2"/>
    <x v="3"/>
    <n v="20000"/>
  </r>
  <r>
    <d v="2025-04-21T00:00:00"/>
    <x v="5"/>
    <x v="1"/>
    <n v="50000"/>
  </r>
  <r>
    <d v="2025-04-22T00:00:00"/>
    <x v="6"/>
    <x v="0"/>
    <n v="42000"/>
  </r>
  <r>
    <d v="2025-04-23T00:00:00"/>
    <x v="3"/>
    <x v="0"/>
    <n v="33000"/>
  </r>
  <r>
    <d v="2025-04-24T00:00:00"/>
    <x v="6"/>
    <x v="2"/>
    <n v="50000"/>
  </r>
  <r>
    <d v="2025-04-25T00:00:00"/>
    <x v="4"/>
    <x v="2"/>
    <n v="125000"/>
  </r>
  <r>
    <d v="2025-04-26T00:00:00"/>
    <x v="4"/>
    <x v="0"/>
    <n v="80000"/>
  </r>
  <r>
    <d v="2025-04-27T00:00:00"/>
    <x v="3"/>
    <x v="1"/>
    <n v="40000"/>
  </r>
  <r>
    <d v="2025-04-28T00:00:00"/>
    <x v="2"/>
    <x v="1"/>
    <n v="28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5:B13" firstHeaderRow="1" firstDataRow="1" firstDataCol="1" rowPageCount="1" colPageCount="1"/>
  <pivotFields count="4">
    <pivotField numFmtId="16" showAll="0" defaultSubtotal="0"/>
    <pivotField axis="axisRow" showAll="0">
      <items count="8">
        <item x="3"/>
        <item x="2"/>
        <item x="0"/>
        <item x="5"/>
        <item x="1"/>
        <item x="6"/>
        <item x="4"/>
        <item t="default"/>
      </items>
    </pivotField>
    <pivotField axis="axisPage" showAll="0">
      <items count="5">
        <item x="0"/>
        <item x="2"/>
        <item x="1"/>
        <item x="3"/>
        <item t="default"/>
      </items>
    </pivotField>
    <pivotField dataField="1" numFmtId="3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2" hier="-1"/>
  </pageFields>
  <dataFields count="1">
    <dataField name="Sum of Sales" fld="3" baseField="0" baseItem="0"/>
  </dataFields>
  <formats count="60"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1" type="button" dataOnly="0" labelOnly="1" outline="0" axis="axisRow" fieldPosition="0"/>
    </format>
    <format dxfId="56">
      <pivotArea dataOnly="0" labelOnly="1" outline="0" axis="axisValues" fieldPosition="0"/>
    </format>
    <format dxfId="55">
      <pivotArea dataOnly="0" labelOnly="1" fieldPosition="0">
        <references count="1">
          <reference field="1" count="0"/>
        </references>
      </pivotArea>
    </format>
    <format dxfId="54">
      <pivotArea dataOnly="0" labelOnly="1" grandRow="1" outline="0" fieldPosition="0"/>
    </format>
    <format dxfId="53">
      <pivotArea field="1" type="button" dataOnly="0" labelOnly="1" outline="0" axis="axisRow" fieldPosition="0"/>
    </format>
    <format dxfId="52">
      <pivotArea dataOnly="0" labelOnly="1" outline="0" axis="axisValues" fieldPosition="0"/>
    </format>
    <format dxfId="51">
      <pivotArea field="1" type="button" dataOnly="0" labelOnly="1" outline="0" axis="axisRow" fieldPosition="0"/>
    </format>
    <format dxfId="50">
      <pivotArea dataOnly="0" labelOnly="1" outline="0" axis="axisValues" fieldPosition="0"/>
    </format>
    <format dxfId="49">
      <pivotArea field="1" type="button" dataOnly="0" labelOnly="1" outline="0" axis="axisRow" fieldPosition="0"/>
    </format>
    <format dxfId="48">
      <pivotArea dataOnly="0" labelOnly="1" outline="0" axis="axisValues" fieldPosition="0"/>
    </format>
    <format dxfId="47">
      <pivotArea field="1" type="button" dataOnly="0" labelOnly="1" outline="0" axis="axisRow" fieldPosition="0"/>
    </format>
    <format dxfId="46">
      <pivotArea dataOnly="0" labelOnly="1" outline="0" axis="axisValues" fieldPosition="0"/>
    </format>
    <format dxfId="45">
      <pivotArea field="1" type="button" dataOnly="0" labelOnly="1" outline="0" axis="axisRow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field="1" type="button" dataOnly="0" labelOnly="1" outline="0" axis="axisRow" fieldPosition="0"/>
    </format>
    <format dxfId="41">
      <pivotArea dataOnly="0" labelOnly="1" outline="0" axis="axisValues" fieldPosition="0"/>
    </format>
    <format dxfId="40">
      <pivotArea dataOnly="0" labelOnly="1" grandRow="1" outline="0" fieldPosition="0"/>
    </format>
    <format dxfId="39">
      <pivotArea grandRow="1" outline="0" collapsedLevelsAreSubtotals="1" fieldPosition="0"/>
    </format>
    <format dxfId="38">
      <pivotArea collapsedLevelsAreSubtotals="1" fieldPosition="0">
        <references count="1">
          <reference field="1" count="0"/>
        </references>
      </pivotArea>
    </format>
    <format dxfId="37">
      <pivotArea collapsedLevelsAreSubtotals="1" fieldPosition="0">
        <references count="1">
          <reference field="1" count="0"/>
        </references>
      </pivotArea>
    </format>
    <format dxfId="36">
      <pivotArea collapsedLevelsAreSubtotals="1" fieldPosition="0">
        <references count="1">
          <reference field="1" count="0"/>
        </references>
      </pivotArea>
    </format>
    <format dxfId="35">
      <pivotArea collapsedLevelsAreSubtotals="1" fieldPosition="0">
        <references count="1">
          <reference field="1" count="0"/>
        </references>
      </pivotArea>
    </format>
    <format dxfId="34">
      <pivotArea field="1" type="button" dataOnly="0" labelOnly="1" outline="0" axis="axisRow" fieldPosition="0"/>
    </format>
    <format dxfId="33">
      <pivotArea dataOnly="0" labelOnly="1" outline="0" axis="axisValues" fieldPosition="0"/>
    </format>
    <format dxfId="32">
      <pivotArea grandRow="1" outline="0" collapsedLevelsAreSubtotals="1" fieldPosition="0"/>
    </format>
    <format dxfId="31">
      <pivotArea dataOnly="0" labelOnly="1" grandRow="1" outline="0" fieldPosition="0"/>
    </format>
    <format dxfId="30">
      <pivotArea grandRow="1" outline="0" collapsedLevelsAreSubtotals="1" fieldPosition="0"/>
    </format>
    <format dxfId="29">
      <pivotArea dataOnly="0" labelOnly="1" grandRow="1" outline="0" fieldPosition="0"/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field="2" type="button" dataOnly="0" labelOnly="1" outline="0" axis="axisPage" fieldPosition="0"/>
    </format>
    <format dxfId="25">
      <pivotArea field="2" type="button" dataOnly="0" labelOnly="1" outline="0" axis="axisPage" fieldPosition="0"/>
    </format>
    <format dxfId="24">
      <pivotArea dataOnly="0" labelOnly="1" outline="0" fieldPosition="0">
        <references count="1">
          <reference field="2" count="0"/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outline="0" axis="axisValues" fieldPosition="0"/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grandRow="1" outline="0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outline="0" axis="axisValues" fieldPosition="0"/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field="2" type="button" dataOnly="0" labelOnly="1" outline="0" axis="axisPage" fieldPosition="0"/>
    </format>
    <format dxfId="10">
      <pivotArea grandRow="1" outline="0" collapsedLevelsAreSubtotals="1" fieldPosition="0"/>
    </format>
    <format dxfId="9">
      <pivotArea dataOnly="0" labelOnly="1" grandRow="1" outline="0" fieldPosition="0"/>
    </format>
    <format dxfId="8">
      <pivotArea field="1" type="button" dataOnly="0" labelOnly="1" outline="0" axis="axisRow" fieldPosition="0"/>
    </format>
    <format dxfId="7">
      <pivotArea dataOnly="0" labelOnly="1" outline="0" axis="axisValues" fieldPosition="0"/>
    </format>
    <format dxfId="6">
      <pivotArea field="2" type="button" dataOnly="0" labelOnly="1" outline="0" axis="axisPage" fieldPosition="0"/>
    </format>
    <format dxfId="5">
      <pivotArea field="2" type="button" dataOnly="0" labelOnly="1" outline="0" axis="axisPage" fieldPosition="0"/>
    </format>
    <format dxfId="4">
      <pivotArea field="2" type="button" dataOnly="0" labelOnly="1" outline="0" axis="axisPage" fieldPosition="0"/>
    </format>
    <format dxfId="3">
      <pivotArea field="2" type="button" dataOnly="0" labelOnly="1" outline="0" axis="axisPage" fieldPosition="0"/>
    </format>
    <format dxfId="2">
      <pivotArea field="2" type="button" dataOnly="0" labelOnly="1" outline="0" axis="axisPage" fieldPosition="0"/>
    </format>
    <format dxfId="1">
      <pivotArea field="2" type="button" dataOnly="0" labelOnly="1" outline="0" axis="axisPage" fieldPosition="0"/>
    </format>
    <format dxfId="0">
      <pivotArea field="2" type="button" dataOnly="0" labelOnly="1" outline="0" axis="axisPage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113" totalsRowShown="0" headerRowDxfId="63">
  <autoFilter ref="A1:D113"/>
  <tableColumns count="4">
    <tableColumn id="1" name="Date" dataDxfId="62"/>
    <tableColumn id="2" name="Product"/>
    <tableColumn id="3" name="Region" dataDxfId="61"/>
    <tableColumn id="4" name="Sales" dataDxfId="6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3"/>
  <sheetViews>
    <sheetView workbookViewId="0">
      <selection activeCell="D11" sqref="D11"/>
    </sheetView>
  </sheetViews>
  <sheetFormatPr defaultRowHeight="15" x14ac:dyDescent="0.25"/>
  <cols>
    <col min="1" max="1" width="13.42578125" style="2" customWidth="1"/>
    <col min="2" max="2" width="13.85546875" customWidth="1"/>
    <col min="3" max="3" width="12.140625" style="1" customWidth="1"/>
    <col min="4" max="4" width="12.42578125" style="2" customWidth="1"/>
  </cols>
  <sheetData>
    <row r="1" spans="1:4" x14ac:dyDescent="0.25">
      <c r="A1" s="5" t="s">
        <v>14</v>
      </c>
      <c r="B1" s="5" t="s">
        <v>0</v>
      </c>
      <c r="C1" s="5" t="s">
        <v>1</v>
      </c>
      <c r="D1" s="5" t="s">
        <v>4</v>
      </c>
    </row>
    <row r="2" spans="1:4" x14ac:dyDescent="0.25">
      <c r="A2" s="3">
        <v>45658</v>
      </c>
      <c r="B2" t="s">
        <v>2</v>
      </c>
      <c r="C2" s="1" t="s">
        <v>3</v>
      </c>
      <c r="D2" s="4">
        <v>75000</v>
      </c>
    </row>
    <row r="3" spans="1:4" x14ac:dyDescent="0.25">
      <c r="A3" s="3">
        <v>45659</v>
      </c>
      <c r="B3" t="s">
        <v>5</v>
      </c>
      <c r="C3" s="1" t="s">
        <v>6</v>
      </c>
      <c r="D3" s="4">
        <v>80000</v>
      </c>
    </row>
    <row r="4" spans="1:4" x14ac:dyDescent="0.25">
      <c r="A4" s="3">
        <v>45660</v>
      </c>
      <c r="B4" t="s">
        <v>7</v>
      </c>
      <c r="C4" s="1" t="s">
        <v>8</v>
      </c>
      <c r="D4" s="4">
        <v>30000</v>
      </c>
    </row>
    <row r="5" spans="1:4" x14ac:dyDescent="0.25">
      <c r="A5" s="3">
        <v>45661</v>
      </c>
      <c r="B5" t="s">
        <v>9</v>
      </c>
      <c r="C5" s="1" t="s">
        <v>10</v>
      </c>
      <c r="D5" s="4">
        <v>15000</v>
      </c>
    </row>
    <row r="6" spans="1:4" x14ac:dyDescent="0.25">
      <c r="A6" s="3">
        <v>45662</v>
      </c>
      <c r="B6" t="s">
        <v>11</v>
      </c>
      <c r="C6" s="1" t="s">
        <v>10</v>
      </c>
      <c r="D6" s="4">
        <v>125000</v>
      </c>
    </row>
    <row r="7" spans="1:4" x14ac:dyDescent="0.25">
      <c r="A7" s="3">
        <v>45663</v>
      </c>
      <c r="B7" t="s">
        <v>12</v>
      </c>
      <c r="C7" s="1" t="s">
        <v>8</v>
      </c>
      <c r="D7" s="4">
        <v>50000</v>
      </c>
    </row>
    <row r="8" spans="1:4" x14ac:dyDescent="0.25">
      <c r="A8" s="3">
        <v>45664</v>
      </c>
      <c r="B8" t="s">
        <v>13</v>
      </c>
      <c r="C8" s="1" t="s">
        <v>6</v>
      </c>
      <c r="D8" s="4">
        <v>35000</v>
      </c>
    </row>
    <row r="9" spans="1:4" x14ac:dyDescent="0.25">
      <c r="A9" s="3">
        <v>45665</v>
      </c>
      <c r="B9" t="s">
        <v>9</v>
      </c>
      <c r="C9" s="1" t="s">
        <v>8</v>
      </c>
      <c r="D9" s="4">
        <v>20000</v>
      </c>
    </row>
    <row r="10" spans="1:4" x14ac:dyDescent="0.25">
      <c r="A10" s="3">
        <v>45666</v>
      </c>
      <c r="B10" t="s">
        <v>9</v>
      </c>
      <c r="C10" s="1" t="s">
        <v>6</v>
      </c>
      <c r="D10" s="4">
        <v>30000</v>
      </c>
    </row>
    <row r="11" spans="1:4" x14ac:dyDescent="0.25">
      <c r="A11" s="3">
        <v>45667</v>
      </c>
      <c r="B11" t="s">
        <v>7</v>
      </c>
      <c r="C11" s="1" t="s">
        <v>10</v>
      </c>
      <c r="D11" s="4">
        <v>25000</v>
      </c>
    </row>
    <row r="12" spans="1:4" x14ac:dyDescent="0.25">
      <c r="A12" s="3">
        <v>45668</v>
      </c>
      <c r="B12" t="s">
        <v>7</v>
      </c>
      <c r="C12" s="1" t="s">
        <v>3</v>
      </c>
      <c r="D12" s="4">
        <v>20000</v>
      </c>
    </row>
    <row r="13" spans="1:4" x14ac:dyDescent="0.25">
      <c r="A13" s="3">
        <v>45669</v>
      </c>
      <c r="B13" t="s">
        <v>5</v>
      </c>
      <c r="C13" s="1" t="s">
        <v>3</v>
      </c>
      <c r="D13" s="4">
        <v>25000</v>
      </c>
    </row>
    <row r="14" spans="1:4" x14ac:dyDescent="0.25">
      <c r="A14" s="3">
        <v>45670</v>
      </c>
      <c r="B14" t="s">
        <v>5</v>
      </c>
      <c r="C14" s="1" t="s">
        <v>8</v>
      </c>
      <c r="D14" s="4">
        <v>30000</v>
      </c>
    </row>
    <row r="15" spans="1:4" x14ac:dyDescent="0.25">
      <c r="A15" s="3">
        <v>45671</v>
      </c>
      <c r="B15" t="s">
        <v>11</v>
      </c>
      <c r="C15" s="1" t="s">
        <v>6</v>
      </c>
      <c r="D15" s="4">
        <v>60000</v>
      </c>
    </row>
    <row r="16" spans="1:4" x14ac:dyDescent="0.25">
      <c r="A16" s="3">
        <v>45672</v>
      </c>
      <c r="B16" t="s">
        <v>7</v>
      </c>
      <c r="C16" s="1" t="s">
        <v>6</v>
      </c>
      <c r="D16" s="4">
        <v>35000</v>
      </c>
    </row>
    <row r="17" spans="1:4" x14ac:dyDescent="0.25">
      <c r="A17" s="3">
        <v>45673</v>
      </c>
      <c r="B17" t="s">
        <v>9</v>
      </c>
      <c r="C17" s="1" t="s">
        <v>3</v>
      </c>
      <c r="D17" s="4">
        <v>24000</v>
      </c>
    </row>
    <row r="18" spans="1:4" x14ac:dyDescent="0.25">
      <c r="A18" s="3">
        <v>45674</v>
      </c>
      <c r="B18" t="s">
        <v>2</v>
      </c>
      <c r="C18" s="1" t="s">
        <v>10</v>
      </c>
      <c r="D18" s="4">
        <v>35000</v>
      </c>
    </row>
    <row r="19" spans="1:4" x14ac:dyDescent="0.25">
      <c r="A19" s="3">
        <v>45675</v>
      </c>
      <c r="B19" t="s">
        <v>5</v>
      </c>
      <c r="C19" s="1" t="s">
        <v>10</v>
      </c>
      <c r="D19" s="4">
        <v>40000</v>
      </c>
    </row>
    <row r="20" spans="1:4" x14ac:dyDescent="0.25">
      <c r="A20" s="3">
        <v>45676</v>
      </c>
      <c r="B20" t="s">
        <v>2</v>
      </c>
      <c r="C20" s="1" t="s">
        <v>8</v>
      </c>
      <c r="D20" s="4">
        <v>32000</v>
      </c>
    </row>
    <row r="21" spans="1:4" x14ac:dyDescent="0.25">
      <c r="A21" s="3">
        <v>45677</v>
      </c>
      <c r="B21" t="s">
        <v>2</v>
      </c>
      <c r="C21" s="1" t="s">
        <v>6</v>
      </c>
      <c r="D21" s="4">
        <v>30000</v>
      </c>
    </row>
    <row r="22" spans="1:4" x14ac:dyDescent="0.25">
      <c r="A22" s="3">
        <v>45678</v>
      </c>
      <c r="B22" t="s">
        <v>11</v>
      </c>
      <c r="C22" s="1" t="s">
        <v>8</v>
      </c>
      <c r="D22" s="4">
        <v>50000</v>
      </c>
    </row>
    <row r="23" spans="1:4" x14ac:dyDescent="0.25">
      <c r="A23" s="3">
        <v>45679</v>
      </c>
      <c r="B23" t="s">
        <v>11</v>
      </c>
      <c r="C23" s="1" t="s">
        <v>3</v>
      </c>
      <c r="D23" s="4">
        <v>60000</v>
      </c>
    </row>
    <row r="24" spans="1:4" x14ac:dyDescent="0.25">
      <c r="A24" s="3">
        <v>45680</v>
      </c>
      <c r="B24" t="s">
        <v>12</v>
      </c>
      <c r="C24" s="1" t="s">
        <v>3</v>
      </c>
      <c r="D24" s="4">
        <v>50000</v>
      </c>
    </row>
    <row r="25" spans="1:4" x14ac:dyDescent="0.25">
      <c r="A25" s="3">
        <v>45681</v>
      </c>
      <c r="B25" t="s">
        <v>12</v>
      </c>
      <c r="C25" s="1" t="s">
        <v>10</v>
      </c>
      <c r="D25" s="4">
        <v>42000</v>
      </c>
    </row>
    <row r="26" spans="1:4" x14ac:dyDescent="0.25">
      <c r="A26" s="3">
        <v>45682</v>
      </c>
      <c r="B26" t="s">
        <v>12</v>
      </c>
      <c r="C26" s="1" t="s">
        <v>6</v>
      </c>
      <c r="D26" s="4">
        <v>35000</v>
      </c>
    </row>
    <row r="27" spans="1:4" x14ac:dyDescent="0.25">
      <c r="A27" s="3">
        <v>45683</v>
      </c>
      <c r="B27" t="s">
        <v>13</v>
      </c>
      <c r="C27" s="1" t="s">
        <v>10</v>
      </c>
      <c r="D27" s="4">
        <v>50000</v>
      </c>
    </row>
    <row r="28" spans="1:4" x14ac:dyDescent="0.25">
      <c r="A28" s="3">
        <v>45684</v>
      </c>
      <c r="B28" t="s">
        <v>13</v>
      </c>
      <c r="C28" s="1" t="s">
        <v>8</v>
      </c>
      <c r="D28" s="4">
        <v>35000</v>
      </c>
    </row>
    <row r="29" spans="1:4" x14ac:dyDescent="0.25">
      <c r="A29" s="3">
        <v>45685</v>
      </c>
      <c r="B29" t="s">
        <v>13</v>
      </c>
      <c r="C29" s="1" t="s">
        <v>3</v>
      </c>
      <c r="D29" s="4">
        <v>42000</v>
      </c>
    </row>
    <row r="30" spans="1:4" x14ac:dyDescent="0.25">
      <c r="A30" s="3">
        <v>45689</v>
      </c>
      <c r="B30" t="s">
        <v>5</v>
      </c>
      <c r="C30" s="1" t="s">
        <v>10</v>
      </c>
      <c r="D30" s="4">
        <v>100000</v>
      </c>
    </row>
    <row r="31" spans="1:4" x14ac:dyDescent="0.25">
      <c r="A31" s="3">
        <v>45690</v>
      </c>
      <c r="B31" t="s">
        <v>2</v>
      </c>
      <c r="C31" s="1" t="s">
        <v>8</v>
      </c>
      <c r="D31" s="4">
        <v>90000</v>
      </c>
    </row>
    <row r="32" spans="1:4" x14ac:dyDescent="0.25">
      <c r="A32" s="3">
        <v>45691</v>
      </c>
      <c r="B32" t="s">
        <v>11</v>
      </c>
      <c r="C32" s="1" t="s">
        <v>10</v>
      </c>
      <c r="D32" s="4">
        <v>80000</v>
      </c>
    </row>
    <row r="33" spans="1:4" x14ac:dyDescent="0.25">
      <c r="A33" s="3">
        <v>45692</v>
      </c>
      <c r="B33" t="s">
        <v>11</v>
      </c>
      <c r="C33" s="1" t="s">
        <v>6</v>
      </c>
      <c r="D33" s="4">
        <v>100000</v>
      </c>
    </row>
    <row r="34" spans="1:4" x14ac:dyDescent="0.25">
      <c r="A34" s="3">
        <v>45693</v>
      </c>
      <c r="B34" t="s">
        <v>7</v>
      </c>
      <c r="C34" s="1" t="s">
        <v>8</v>
      </c>
      <c r="D34" s="4">
        <v>30000</v>
      </c>
    </row>
    <row r="35" spans="1:4" x14ac:dyDescent="0.25">
      <c r="A35" s="3">
        <v>45694</v>
      </c>
      <c r="B35" t="s">
        <v>5</v>
      </c>
      <c r="C35" s="1" t="s">
        <v>8</v>
      </c>
      <c r="D35" s="4">
        <v>30000</v>
      </c>
    </row>
    <row r="36" spans="1:4" x14ac:dyDescent="0.25">
      <c r="A36" s="3">
        <v>45695</v>
      </c>
      <c r="B36" t="s">
        <v>7</v>
      </c>
      <c r="C36" s="1" t="s">
        <v>3</v>
      </c>
      <c r="D36" s="4">
        <v>35000</v>
      </c>
    </row>
    <row r="37" spans="1:4" x14ac:dyDescent="0.25">
      <c r="A37" s="3">
        <v>45696</v>
      </c>
      <c r="B37" t="s">
        <v>7</v>
      </c>
      <c r="C37" s="1" t="s">
        <v>10</v>
      </c>
      <c r="D37" s="4">
        <v>24000</v>
      </c>
    </row>
    <row r="38" spans="1:4" x14ac:dyDescent="0.25">
      <c r="A38" s="3">
        <v>45697</v>
      </c>
      <c r="B38" t="s">
        <v>12</v>
      </c>
      <c r="C38" s="1" t="s">
        <v>8</v>
      </c>
      <c r="D38" s="4">
        <v>35000</v>
      </c>
    </row>
    <row r="39" spans="1:4" x14ac:dyDescent="0.25">
      <c r="A39" s="3">
        <v>45698</v>
      </c>
      <c r="B39" t="s">
        <v>11</v>
      </c>
      <c r="C39" s="1" t="s">
        <v>8</v>
      </c>
      <c r="D39" s="4">
        <v>60000</v>
      </c>
    </row>
    <row r="40" spans="1:4" x14ac:dyDescent="0.25">
      <c r="A40" s="3">
        <v>45699</v>
      </c>
      <c r="B40" t="s">
        <v>9</v>
      </c>
      <c r="C40" s="1" t="s">
        <v>6</v>
      </c>
      <c r="D40" s="4">
        <v>32000</v>
      </c>
    </row>
    <row r="41" spans="1:4" x14ac:dyDescent="0.25">
      <c r="A41" s="3">
        <v>45700</v>
      </c>
      <c r="B41" t="s">
        <v>9</v>
      </c>
      <c r="C41" s="1" t="s">
        <v>8</v>
      </c>
      <c r="D41" s="4">
        <v>30000</v>
      </c>
    </row>
    <row r="42" spans="1:4" x14ac:dyDescent="0.25">
      <c r="A42" s="3">
        <v>45701</v>
      </c>
      <c r="B42" t="s">
        <v>13</v>
      </c>
      <c r="C42" s="1" t="s">
        <v>6</v>
      </c>
      <c r="D42" s="4">
        <v>35000</v>
      </c>
    </row>
    <row r="43" spans="1:4" x14ac:dyDescent="0.25">
      <c r="A43" s="3">
        <v>45702</v>
      </c>
      <c r="B43" t="s">
        <v>2</v>
      </c>
      <c r="C43" s="1" t="s">
        <v>3</v>
      </c>
      <c r="D43" s="4">
        <v>40000</v>
      </c>
    </row>
    <row r="44" spans="1:4" x14ac:dyDescent="0.25">
      <c r="A44" s="3">
        <v>45703</v>
      </c>
      <c r="B44" t="s">
        <v>13</v>
      </c>
      <c r="C44" s="1" t="s">
        <v>3</v>
      </c>
      <c r="D44" s="4">
        <v>50000</v>
      </c>
    </row>
    <row r="45" spans="1:4" x14ac:dyDescent="0.25">
      <c r="A45" s="3">
        <v>45704</v>
      </c>
      <c r="B45" t="s">
        <v>13</v>
      </c>
      <c r="C45" s="1" t="s">
        <v>10</v>
      </c>
      <c r="D45" s="4">
        <v>42000</v>
      </c>
    </row>
    <row r="46" spans="1:4" x14ac:dyDescent="0.25">
      <c r="A46" s="3">
        <v>45705</v>
      </c>
      <c r="B46" t="s">
        <v>2</v>
      </c>
      <c r="C46" s="1" t="s">
        <v>10</v>
      </c>
      <c r="D46" s="4">
        <v>70000</v>
      </c>
    </row>
    <row r="47" spans="1:4" x14ac:dyDescent="0.25">
      <c r="A47" s="3">
        <v>45706</v>
      </c>
      <c r="B47" t="s">
        <v>13</v>
      </c>
      <c r="C47" s="1" t="s">
        <v>8</v>
      </c>
      <c r="D47" s="4">
        <v>45000</v>
      </c>
    </row>
    <row r="48" spans="1:4" x14ac:dyDescent="0.25">
      <c r="A48" s="3">
        <v>45707</v>
      </c>
      <c r="B48" t="s">
        <v>2</v>
      </c>
      <c r="C48" s="1" t="s">
        <v>6</v>
      </c>
      <c r="D48" s="4">
        <v>70000</v>
      </c>
    </row>
    <row r="49" spans="1:4" x14ac:dyDescent="0.25">
      <c r="A49" s="3">
        <v>45708</v>
      </c>
      <c r="B49" t="s">
        <v>11</v>
      </c>
      <c r="C49" s="1" t="s">
        <v>3</v>
      </c>
      <c r="D49" s="4">
        <v>100000</v>
      </c>
    </row>
    <row r="50" spans="1:4" x14ac:dyDescent="0.25">
      <c r="A50" s="3">
        <v>45709</v>
      </c>
      <c r="B50" t="s">
        <v>9</v>
      </c>
      <c r="C50" s="1" t="s">
        <v>3</v>
      </c>
      <c r="D50" s="4">
        <v>15000</v>
      </c>
    </row>
    <row r="51" spans="1:4" x14ac:dyDescent="0.25">
      <c r="A51" s="3">
        <v>45710</v>
      </c>
      <c r="B51" t="s">
        <v>7</v>
      </c>
      <c r="C51" s="1" t="s">
        <v>6</v>
      </c>
      <c r="D51" s="4">
        <v>24000</v>
      </c>
    </row>
    <row r="52" spans="1:4" x14ac:dyDescent="0.25">
      <c r="A52" s="3">
        <v>45711</v>
      </c>
      <c r="B52" t="s">
        <v>12</v>
      </c>
      <c r="C52" s="1" t="s">
        <v>10</v>
      </c>
      <c r="D52" s="4">
        <v>35000</v>
      </c>
    </row>
    <row r="53" spans="1:4" x14ac:dyDescent="0.25">
      <c r="A53" s="3">
        <v>45712</v>
      </c>
      <c r="B53" t="s">
        <v>12</v>
      </c>
      <c r="C53" s="1" t="s">
        <v>3</v>
      </c>
      <c r="D53" s="4">
        <v>40000</v>
      </c>
    </row>
    <row r="54" spans="1:4" x14ac:dyDescent="0.25">
      <c r="A54" s="3">
        <v>45713</v>
      </c>
      <c r="B54" t="s">
        <v>9</v>
      </c>
      <c r="C54" s="1" t="s">
        <v>10</v>
      </c>
      <c r="D54" s="4">
        <v>32000</v>
      </c>
    </row>
    <row r="55" spans="1:4" x14ac:dyDescent="0.25">
      <c r="A55" s="3">
        <v>45714</v>
      </c>
      <c r="B55" t="s">
        <v>12</v>
      </c>
      <c r="C55" s="1" t="s">
        <v>6</v>
      </c>
      <c r="D55" s="4">
        <v>30000</v>
      </c>
    </row>
    <row r="56" spans="1:4" x14ac:dyDescent="0.25">
      <c r="A56" s="3">
        <v>45715</v>
      </c>
      <c r="B56" t="s">
        <v>5</v>
      </c>
      <c r="C56" s="1" t="s">
        <v>6</v>
      </c>
      <c r="D56" s="4">
        <v>35000</v>
      </c>
    </row>
    <row r="57" spans="1:4" x14ac:dyDescent="0.25">
      <c r="A57" s="3">
        <v>45716</v>
      </c>
      <c r="B57" t="s">
        <v>5</v>
      </c>
      <c r="C57" s="1" t="s">
        <v>3</v>
      </c>
      <c r="D57" s="4">
        <v>40000</v>
      </c>
    </row>
    <row r="58" spans="1:4" x14ac:dyDescent="0.25">
      <c r="A58" s="3">
        <v>45717</v>
      </c>
      <c r="B58" t="s">
        <v>2</v>
      </c>
      <c r="C58" s="1" t="s">
        <v>6</v>
      </c>
      <c r="D58" s="4">
        <v>50000</v>
      </c>
    </row>
    <row r="59" spans="1:4" x14ac:dyDescent="0.25">
      <c r="A59" s="3">
        <v>45718</v>
      </c>
      <c r="B59" t="s">
        <v>11</v>
      </c>
      <c r="C59" s="1" t="s">
        <v>10</v>
      </c>
      <c r="D59" s="4">
        <v>70000</v>
      </c>
    </row>
    <row r="60" spans="1:4" x14ac:dyDescent="0.25">
      <c r="A60" s="3">
        <v>45719</v>
      </c>
      <c r="B60" t="s">
        <v>11</v>
      </c>
      <c r="C60" s="1" t="s">
        <v>6</v>
      </c>
      <c r="D60" s="4">
        <v>80000</v>
      </c>
    </row>
    <row r="61" spans="1:4" x14ac:dyDescent="0.25">
      <c r="A61" s="3">
        <v>45720</v>
      </c>
      <c r="B61" t="s">
        <v>5</v>
      </c>
      <c r="C61" s="1" t="s">
        <v>3</v>
      </c>
      <c r="D61" s="4">
        <v>125000</v>
      </c>
    </row>
    <row r="62" spans="1:4" x14ac:dyDescent="0.25">
      <c r="A62" s="3">
        <v>45721</v>
      </c>
      <c r="B62" t="s">
        <v>9</v>
      </c>
      <c r="C62" s="1" t="s">
        <v>3</v>
      </c>
      <c r="D62" s="4">
        <v>12000</v>
      </c>
    </row>
    <row r="63" spans="1:4" x14ac:dyDescent="0.25">
      <c r="A63" s="3">
        <v>45722</v>
      </c>
      <c r="B63" t="s">
        <v>5</v>
      </c>
      <c r="C63" s="1" t="s">
        <v>6</v>
      </c>
      <c r="D63" s="4">
        <v>125000</v>
      </c>
    </row>
    <row r="64" spans="1:4" x14ac:dyDescent="0.25">
      <c r="A64" s="3">
        <v>45723</v>
      </c>
      <c r="B64" t="s">
        <v>2</v>
      </c>
      <c r="C64" s="1" t="s">
        <v>8</v>
      </c>
      <c r="D64" s="4">
        <v>60000</v>
      </c>
    </row>
    <row r="65" spans="1:4" x14ac:dyDescent="0.25">
      <c r="A65" s="3">
        <v>45724</v>
      </c>
      <c r="B65" t="s">
        <v>2</v>
      </c>
      <c r="C65" s="1" t="s">
        <v>10</v>
      </c>
      <c r="D65" s="4">
        <v>60000</v>
      </c>
    </row>
    <row r="66" spans="1:4" x14ac:dyDescent="0.25">
      <c r="A66" s="3">
        <v>45725</v>
      </c>
      <c r="B66" t="s">
        <v>5</v>
      </c>
      <c r="C66" s="1" t="s">
        <v>10</v>
      </c>
      <c r="D66" s="4">
        <v>100000</v>
      </c>
    </row>
    <row r="67" spans="1:4" x14ac:dyDescent="0.25">
      <c r="A67" s="3">
        <v>45726</v>
      </c>
      <c r="B67" t="s">
        <v>9</v>
      </c>
      <c r="C67" s="1" t="s">
        <v>10</v>
      </c>
      <c r="D67" s="4">
        <v>18000</v>
      </c>
    </row>
    <row r="68" spans="1:4" x14ac:dyDescent="0.25">
      <c r="A68" s="3">
        <v>45727</v>
      </c>
      <c r="B68" t="s">
        <v>7</v>
      </c>
      <c r="C68" s="1" t="s">
        <v>6</v>
      </c>
      <c r="D68" s="4">
        <v>30000</v>
      </c>
    </row>
    <row r="69" spans="1:4" x14ac:dyDescent="0.25">
      <c r="A69" s="3">
        <v>45728</v>
      </c>
      <c r="B69" t="s">
        <v>9</v>
      </c>
      <c r="C69" s="1" t="s">
        <v>8</v>
      </c>
      <c r="D69" s="4">
        <v>25000</v>
      </c>
    </row>
    <row r="70" spans="1:4" x14ac:dyDescent="0.25">
      <c r="A70" s="3">
        <v>45729</v>
      </c>
      <c r="B70" t="s">
        <v>12</v>
      </c>
      <c r="C70" s="1" t="s">
        <v>6</v>
      </c>
      <c r="D70" s="4">
        <v>55000</v>
      </c>
    </row>
    <row r="71" spans="1:4" x14ac:dyDescent="0.25">
      <c r="A71" s="3">
        <v>45730</v>
      </c>
      <c r="B71" t="s">
        <v>11</v>
      </c>
      <c r="C71" s="1" t="s">
        <v>8</v>
      </c>
      <c r="D71" s="4">
        <v>125000</v>
      </c>
    </row>
    <row r="72" spans="1:4" x14ac:dyDescent="0.25">
      <c r="A72" s="3">
        <v>45731</v>
      </c>
      <c r="B72" t="s">
        <v>9</v>
      </c>
      <c r="C72" s="1" t="s">
        <v>6</v>
      </c>
      <c r="D72" s="4">
        <v>35000</v>
      </c>
    </row>
    <row r="73" spans="1:4" x14ac:dyDescent="0.25">
      <c r="A73" s="3">
        <v>45732</v>
      </c>
      <c r="B73" t="s">
        <v>5</v>
      </c>
      <c r="C73" s="1" t="s">
        <v>8</v>
      </c>
      <c r="D73" s="4">
        <v>80000</v>
      </c>
    </row>
    <row r="74" spans="1:4" x14ac:dyDescent="0.25">
      <c r="A74" s="3">
        <v>45733</v>
      </c>
      <c r="B74" t="s">
        <v>12</v>
      </c>
      <c r="C74" s="1" t="s">
        <v>10</v>
      </c>
      <c r="D74" s="4">
        <v>40000</v>
      </c>
    </row>
    <row r="75" spans="1:4" x14ac:dyDescent="0.25">
      <c r="A75" s="3">
        <v>45734</v>
      </c>
      <c r="B75" t="s">
        <v>11</v>
      </c>
      <c r="C75" s="1" t="s">
        <v>3</v>
      </c>
      <c r="D75" s="4">
        <v>120000</v>
      </c>
    </row>
    <row r="76" spans="1:4" x14ac:dyDescent="0.25">
      <c r="A76" s="3">
        <v>45735</v>
      </c>
      <c r="B76" t="s">
        <v>7</v>
      </c>
      <c r="C76" s="1" t="s">
        <v>10</v>
      </c>
      <c r="D76" s="4">
        <v>30000</v>
      </c>
    </row>
    <row r="77" spans="1:4" x14ac:dyDescent="0.25">
      <c r="A77" s="3">
        <v>45736</v>
      </c>
      <c r="B77" t="s">
        <v>7</v>
      </c>
      <c r="C77" s="1" t="s">
        <v>8</v>
      </c>
      <c r="D77" s="4">
        <v>35000</v>
      </c>
    </row>
    <row r="78" spans="1:4" x14ac:dyDescent="0.25">
      <c r="A78" s="3">
        <v>45737</v>
      </c>
      <c r="B78" t="s">
        <v>13</v>
      </c>
      <c r="C78" s="1" t="s">
        <v>6</v>
      </c>
      <c r="D78" s="4">
        <v>35000</v>
      </c>
    </row>
    <row r="79" spans="1:4" x14ac:dyDescent="0.25">
      <c r="A79" s="3">
        <v>45738</v>
      </c>
      <c r="B79" t="s">
        <v>12</v>
      </c>
      <c r="C79" s="1" t="s">
        <v>3</v>
      </c>
      <c r="D79" s="4">
        <v>40000</v>
      </c>
    </row>
    <row r="80" spans="1:4" x14ac:dyDescent="0.25">
      <c r="A80" s="3">
        <v>45739</v>
      </c>
      <c r="B80" t="s">
        <v>12</v>
      </c>
      <c r="C80" s="1" t="s">
        <v>8</v>
      </c>
      <c r="D80" s="4">
        <v>55000</v>
      </c>
    </row>
    <row r="81" spans="1:4" x14ac:dyDescent="0.25">
      <c r="A81" s="3">
        <v>45740</v>
      </c>
      <c r="B81" t="s">
        <v>7</v>
      </c>
      <c r="C81" s="1" t="s">
        <v>3</v>
      </c>
      <c r="D81" s="4">
        <v>25000</v>
      </c>
    </row>
    <row r="82" spans="1:4" x14ac:dyDescent="0.25">
      <c r="A82" s="3">
        <v>45741</v>
      </c>
      <c r="B82" t="s">
        <v>2</v>
      </c>
      <c r="C82" s="1" t="s">
        <v>3</v>
      </c>
      <c r="D82" s="4">
        <v>60000</v>
      </c>
    </row>
    <row r="83" spans="1:4" x14ac:dyDescent="0.25">
      <c r="A83" s="3">
        <v>45742</v>
      </c>
      <c r="B83" t="s">
        <v>13</v>
      </c>
      <c r="C83" s="1" t="s">
        <v>3</v>
      </c>
      <c r="D83" s="4">
        <v>42000</v>
      </c>
    </row>
    <row r="84" spans="1:4" x14ac:dyDescent="0.25">
      <c r="A84" s="3">
        <v>45743</v>
      </c>
      <c r="B84" t="s">
        <v>13</v>
      </c>
      <c r="C84" s="1" t="s">
        <v>10</v>
      </c>
      <c r="D84" s="4">
        <v>30000</v>
      </c>
    </row>
    <row r="85" spans="1:4" x14ac:dyDescent="0.25">
      <c r="A85" s="3">
        <v>45744</v>
      </c>
      <c r="B85" t="s">
        <v>13</v>
      </c>
      <c r="C85" s="1" t="s">
        <v>8</v>
      </c>
      <c r="D85" s="4">
        <v>50000</v>
      </c>
    </row>
    <row r="86" spans="1:4" x14ac:dyDescent="0.25">
      <c r="A86" s="3">
        <v>45748</v>
      </c>
      <c r="B86" t="s">
        <v>5</v>
      </c>
      <c r="C86" s="1" t="s">
        <v>6</v>
      </c>
      <c r="D86" s="4">
        <v>90000</v>
      </c>
    </row>
    <row r="87" spans="1:4" x14ac:dyDescent="0.25">
      <c r="A87" s="3">
        <v>45749</v>
      </c>
      <c r="B87" t="s">
        <v>5</v>
      </c>
      <c r="C87" s="1" t="s">
        <v>8</v>
      </c>
      <c r="D87" s="4">
        <v>100000</v>
      </c>
    </row>
    <row r="88" spans="1:4" x14ac:dyDescent="0.25">
      <c r="A88" s="3">
        <v>45750</v>
      </c>
      <c r="B88" t="s">
        <v>5</v>
      </c>
      <c r="C88" s="1" t="s">
        <v>3</v>
      </c>
      <c r="D88" s="4">
        <v>150000</v>
      </c>
    </row>
    <row r="89" spans="1:4" x14ac:dyDescent="0.25">
      <c r="A89" s="3">
        <v>45751</v>
      </c>
      <c r="B89" t="s">
        <v>11</v>
      </c>
      <c r="C89" s="1" t="s">
        <v>10</v>
      </c>
      <c r="D89" s="4">
        <v>125000</v>
      </c>
    </row>
    <row r="90" spans="1:4" x14ac:dyDescent="0.25">
      <c r="A90" s="3">
        <v>45752</v>
      </c>
      <c r="B90" t="s">
        <v>11</v>
      </c>
      <c r="C90" s="1" t="s">
        <v>6</v>
      </c>
      <c r="D90" s="4">
        <v>80000</v>
      </c>
    </row>
    <row r="91" spans="1:4" x14ac:dyDescent="0.25">
      <c r="A91" s="3">
        <v>45753</v>
      </c>
      <c r="B91" t="s">
        <v>2</v>
      </c>
      <c r="C91" s="1" t="s">
        <v>8</v>
      </c>
      <c r="D91" s="4">
        <v>65000</v>
      </c>
    </row>
    <row r="92" spans="1:4" x14ac:dyDescent="0.25">
      <c r="A92" s="3">
        <v>45754</v>
      </c>
      <c r="B92" t="s">
        <v>2</v>
      </c>
      <c r="C92" s="1" t="s">
        <v>3</v>
      </c>
      <c r="D92" s="4">
        <v>65000</v>
      </c>
    </row>
    <row r="93" spans="1:4" x14ac:dyDescent="0.25">
      <c r="A93" s="3">
        <v>45755</v>
      </c>
      <c r="B93" t="s">
        <v>12</v>
      </c>
      <c r="C93" s="1" t="s">
        <v>8</v>
      </c>
      <c r="D93" s="4">
        <v>55000</v>
      </c>
    </row>
    <row r="94" spans="1:4" x14ac:dyDescent="0.25">
      <c r="A94" s="3">
        <v>45756</v>
      </c>
      <c r="B94" t="s">
        <v>7</v>
      </c>
      <c r="C94" s="1" t="s">
        <v>8</v>
      </c>
      <c r="D94" s="4">
        <v>40000</v>
      </c>
    </row>
    <row r="95" spans="1:4" x14ac:dyDescent="0.25">
      <c r="A95" s="3">
        <v>45757</v>
      </c>
      <c r="B95" t="s">
        <v>9</v>
      </c>
      <c r="C95" s="1" t="s">
        <v>8</v>
      </c>
      <c r="D95" s="4">
        <v>18000</v>
      </c>
    </row>
    <row r="96" spans="1:4" x14ac:dyDescent="0.25">
      <c r="A96" s="3">
        <v>45758</v>
      </c>
      <c r="B96" t="s">
        <v>7</v>
      </c>
      <c r="C96" s="1" t="s">
        <v>3</v>
      </c>
      <c r="D96" s="4">
        <v>25000</v>
      </c>
    </row>
    <row r="97" spans="1:4" x14ac:dyDescent="0.25">
      <c r="A97" s="3">
        <v>45759</v>
      </c>
      <c r="B97" t="s">
        <v>13</v>
      </c>
      <c r="C97" s="1" t="s">
        <v>10</v>
      </c>
      <c r="D97" s="4">
        <v>35000</v>
      </c>
    </row>
    <row r="98" spans="1:4" x14ac:dyDescent="0.25">
      <c r="A98" s="3">
        <v>45760</v>
      </c>
      <c r="B98" t="s">
        <v>12</v>
      </c>
      <c r="C98" s="1" t="s">
        <v>10</v>
      </c>
      <c r="D98" s="4">
        <v>60000</v>
      </c>
    </row>
    <row r="99" spans="1:4" x14ac:dyDescent="0.25">
      <c r="A99" s="3">
        <v>45761</v>
      </c>
      <c r="B99" t="s">
        <v>9</v>
      </c>
      <c r="C99" s="1" t="s">
        <v>10</v>
      </c>
      <c r="D99" s="4">
        <v>20000</v>
      </c>
    </row>
    <row r="100" spans="1:4" x14ac:dyDescent="0.25">
      <c r="A100" s="3">
        <v>45762</v>
      </c>
      <c r="B100" t="s">
        <v>2</v>
      </c>
      <c r="C100" s="1" t="s">
        <v>6</v>
      </c>
      <c r="D100" s="4">
        <v>80000</v>
      </c>
    </row>
    <row r="101" spans="1:4" x14ac:dyDescent="0.25">
      <c r="A101" s="3">
        <v>45763</v>
      </c>
      <c r="B101" t="s">
        <v>5</v>
      </c>
      <c r="C101" s="1" t="s">
        <v>10</v>
      </c>
      <c r="D101" s="4">
        <v>120000</v>
      </c>
    </row>
    <row r="102" spans="1:4" x14ac:dyDescent="0.25">
      <c r="A102" s="3">
        <v>45764</v>
      </c>
      <c r="B102" t="s">
        <v>2</v>
      </c>
      <c r="C102" s="1" t="s">
        <v>8</v>
      </c>
      <c r="D102" s="4">
        <v>65000</v>
      </c>
    </row>
    <row r="103" spans="1:4" x14ac:dyDescent="0.25">
      <c r="A103" s="3">
        <v>45765</v>
      </c>
      <c r="B103" t="s">
        <v>13</v>
      </c>
      <c r="C103" s="1" t="s">
        <v>6</v>
      </c>
      <c r="D103" s="4">
        <v>65000</v>
      </c>
    </row>
    <row r="104" spans="1:4" x14ac:dyDescent="0.25">
      <c r="A104" s="3">
        <v>45766</v>
      </c>
      <c r="B104" t="s">
        <v>12</v>
      </c>
      <c r="C104" s="1" t="s">
        <v>3</v>
      </c>
      <c r="D104" s="4">
        <v>50000</v>
      </c>
    </row>
    <row r="105" spans="1:4" x14ac:dyDescent="0.25">
      <c r="A105" s="3">
        <v>45767</v>
      </c>
      <c r="B105" t="s">
        <v>7</v>
      </c>
      <c r="C105" s="1" t="s">
        <v>10</v>
      </c>
      <c r="D105" s="4">
        <v>20000</v>
      </c>
    </row>
    <row r="106" spans="1:4" x14ac:dyDescent="0.25">
      <c r="A106" s="3">
        <v>45768</v>
      </c>
      <c r="B106" t="s">
        <v>12</v>
      </c>
      <c r="C106" s="1" t="s">
        <v>6</v>
      </c>
      <c r="D106" s="4">
        <v>50000</v>
      </c>
    </row>
    <row r="107" spans="1:4" x14ac:dyDescent="0.25">
      <c r="A107" s="3">
        <v>45769</v>
      </c>
      <c r="B107" t="s">
        <v>13</v>
      </c>
      <c r="C107" s="1" t="s">
        <v>3</v>
      </c>
      <c r="D107" s="4">
        <v>42000</v>
      </c>
    </row>
    <row r="108" spans="1:4" x14ac:dyDescent="0.25">
      <c r="A108" s="3">
        <v>45770</v>
      </c>
      <c r="B108" t="s">
        <v>9</v>
      </c>
      <c r="C108" s="1" t="s">
        <v>3</v>
      </c>
      <c r="D108" s="4">
        <v>33000</v>
      </c>
    </row>
    <row r="109" spans="1:4" x14ac:dyDescent="0.25">
      <c r="A109" s="3">
        <v>45771</v>
      </c>
      <c r="B109" t="s">
        <v>13</v>
      </c>
      <c r="C109" s="1" t="s">
        <v>8</v>
      </c>
      <c r="D109" s="4">
        <v>50000</v>
      </c>
    </row>
    <row r="110" spans="1:4" x14ac:dyDescent="0.25">
      <c r="A110" s="3">
        <v>45772</v>
      </c>
      <c r="B110" t="s">
        <v>11</v>
      </c>
      <c r="C110" s="1" t="s">
        <v>8</v>
      </c>
      <c r="D110" s="4">
        <v>125000</v>
      </c>
    </row>
    <row r="111" spans="1:4" x14ac:dyDescent="0.25">
      <c r="A111" s="3">
        <v>45773</v>
      </c>
      <c r="B111" t="s">
        <v>11</v>
      </c>
      <c r="C111" s="1" t="s">
        <v>3</v>
      </c>
      <c r="D111" s="4">
        <v>80000</v>
      </c>
    </row>
    <row r="112" spans="1:4" x14ac:dyDescent="0.25">
      <c r="A112" s="3">
        <v>45774</v>
      </c>
      <c r="B112" t="s">
        <v>9</v>
      </c>
      <c r="C112" s="1" t="s">
        <v>6</v>
      </c>
      <c r="D112" s="4">
        <v>40000</v>
      </c>
    </row>
    <row r="113" spans="1:4" x14ac:dyDescent="0.25">
      <c r="A113" s="3">
        <v>45775</v>
      </c>
      <c r="B113" t="s">
        <v>7</v>
      </c>
      <c r="C113" s="1" t="s">
        <v>6</v>
      </c>
      <c r="D113" s="4">
        <v>28000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6"/>
  <sheetViews>
    <sheetView showGridLines="0" tabSelected="1" zoomScale="130" zoomScaleNormal="130" workbookViewId="0">
      <selection activeCell="E9" sqref="E9"/>
    </sheetView>
  </sheetViews>
  <sheetFormatPr defaultRowHeight="15" x14ac:dyDescent="0.25"/>
  <cols>
    <col min="1" max="1" width="15.42578125" bestFit="1" customWidth="1"/>
    <col min="2" max="2" width="12.5703125" customWidth="1"/>
    <col min="4" max="4" width="6.140625" customWidth="1"/>
    <col min="5" max="5" width="16.140625" bestFit="1" customWidth="1"/>
    <col min="6" max="6" width="12.140625" customWidth="1"/>
    <col min="7" max="7" width="8" customWidth="1"/>
    <col min="9" max="9" width="11.28515625" bestFit="1" customWidth="1"/>
    <col min="12" max="12" width="10" customWidth="1"/>
    <col min="13" max="13" width="7.85546875" customWidth="1"/>
  </cols>
  <sheetData>
    <row r="1" spans="1:15" ht="21" customHeight="1" x14ac:dyDescent="0.4">
      <c r="A1" s="20" t="s">
        <v>19</v>
      </c>
      <c r="B1" s="20"/>
      <c r="C1" s="20"/>
      <c r="D1" s="8"/>
      <c r="E1" s="8"/>
      <c r="F1" s="7"/>
      <c r="G1" s="7"/>
      <c r="H1" s="7"/>
      <c r="I1" s="7"/>
      <c r="J1" s="7"/>
      <c r="K1" s="7"/>
      <c r="L1" s="22" t="s">
        <v>26</v>
      </c>
      <c r="M1" s="22"/>
      <c r="N1" s="22"/>
      <c r="O1" s="17"/>
    </row>
    <row r="2" spans="1:15" x14ac:dyDescent="0.25">
      <c r="A2" s="6"/>
      <c r="B2" s="6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x14ac:dyDescent="0.25">
      <c r="A3" s="14" t="s">
        <v>1</v>
      </c>
      <c r="B3" s="15" t="s">
        <v>17</v>
      </c>
      <c r="C3" s="6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25">
      <c r="A4" s="6"/>
      <c r="B4" s="6"/>
      <c r="C4" s="6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25">
      <c r="A5" s="11" t="s">
        <v>15</v>
      </c>
      <c r="B5" s="11" t="s">
        <v>18</v>
      </c>
      <c r="C5" s="6"/>
      <c r="D5" s="7"/>
      <c r="E5" s="7"/>
      <c r="F5" s="7"/>
      <c r="G5" s="7"/>
      <c r="H5" s="7"/>
      <c r="I5" s="10"/>
      <c r="J5" s="7"/>
      <c r="K5" s="7"/>
      <c r="L5" s="7"/>
      <c r="M5" s="7"/>
      <c r="N5" s="7"/>
      <c r="O5" s="7"/>
    </row>
    <row r="6" spans="1:15" ht="15.75" customHeight="1" x14ac:dyDescent="0.25">
      <c r="A6" s="9" t="s">
        <v>9</v>
      </c>
      <c r="B6" s="12">
        <v>399000</v>
      </c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ht="15" customHeight="1" x14ac:dyDescent="0.25">
      <c r="A7" s="9" t="s">
        <v>7</v>
      </c>
      <c r="B7" s="12">
        <v>456000</v>
      </c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25">
      <c r="A8" s="9" t="s">
        <v>2</v>
      </c>
      <c r="B8" s="12">
        <v>947000</v>
      </c>
      <c r="C8" s="6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25">
      <c r="A9" s="9" t="s">
        <v>12</v>
      </c>
      <c r="B9" s="12">
        <v>722000</v>
      </c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25">
      <c r="A10" s="9" t="s">
        <v>5</v>
      </c>
      <c r="B10" s="12">
        <v>1270000</v>
      </c>
      <c r="C10" s="6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25">
      <c r="A11" s="9" t="s">
        <v>13</v>
      </c>
      <c r="B11" s="12">
        <v>683000</v>
      </c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25">
      <c r="A12" s="9" t="s">
        <v>11</v>
      </c>
      <c r="B12" s="12">
        <v>1440000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25">
      <c r="A13" s="13" t="s">
        <v>16</v>
      </c>
      <c r="B13" s="16">
        <v>5917000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ht="15.75" x14ac:dyDescent="0.25">
      <c r="A14" s="18"/>
      <c r="B14" s="19"/>
      <c r="C14" s="6"/>
      <c r="D14" s="7"/>
      <c r="E14" s="23" t="s">
        <v>21</v>
      </c>
      <c r="F14" s="24" t="s">
        <v>22</v>
      </c>
      <c r="G14" s="7"/>
      <c r="H14" s="7"/>
      <c r="I14" s="7"/>
      <c r="J14" s="7"/>
      <c r="K14" s="7"/>
      <c r="L14" s="7"/>
      <c r="M14" s="7"/>
      <c r="N14" s="7"/>
      <c r="O14" s="7"/>
    </row>
    <row r="15" spans="1:15" ht="15.75" x14ac:dyDescent="0.25">
      <c r="A15" s="6"/>
      <c r="B15" s="6"/>
      <c r="C15" s="6"/>
      <c r="D15" s="7"/>
      <c r="E15" s="25" t="s">
        <v>23</v>
      </c>
      <c r="F15" s="27">
        <f>(GETPIVOTDATA("Sales",$A$5))</f>
        <v>5917000</v>
      </c>
      <c r="G15" s="7"/>
      <c r="H15" s="7"/>
      <c r="I15" s="7"/>
      <c r="J15" s="7"/>
      <c r="K15" s="7"/>
      <c r="L15" s="7"/>
      <c r="M15" s="7"/>
      <c r="N15" s="7"/>
      <c r="O15" s="7"/>
    </row>
    <row r="16" spans="1:15" ht="15.75" x14ac:dyDescent="0.25">
      <c r="A16" s="6"/>
      <c r="B16" s="6"/>
      <c r="C16" s="6"/>
      <c r="D16" s="7"/>
      <c r="E16" s="25" t="s">
        <v>24</v>
      </c>
      <c r="F16" s="27">
        <f>MAX(B6:B12)</f>
        <v>1440000</v>
      </c>
      <c r="G16" s="7"/>
      <c r="H16" s="7"/>
      <c r="I16" s="7"/>
      <c r="J16" s="7"/>
      <c r="K16" s="7"/>
      <c r="L16" s="7"/>
      <c r="M16" s="7"/>
      <c r="N16" s="7"/>
      <c r="O16" s="7"/>
    </row>
    <row r="17" spans="1:15" ht="15.75" x14ac:dyDescent="0.25">
      <c r="A17" s="6"/>
      <c r="B17" s="6"/>
      <c r="C17" s="6"/>
      <c r="D17" s="7"/>
      <c r="E17" s="26" t="s">
        <v>25</v>
      </c>
      <c r="F17" s="28">
        <f>MIN(B6:B12)</f>
        <v>399000</v>
      </c>
      <c r="G17" s="7"/>
      <c r="H17" s="7"/>
      <c r="I17" s="7"/>
      <c r="J17" s="7"/>
      <c r="K17" s="7"/>
      <c r="L17" s="7"/>
      <c r="M17" s="7"/>
      <c r="N17" s="7"/>
      <c r="O17" s="7"/>
    </row>
    <row r="18" spans="1:15" x14ac:dyDescent="0.25">
      <c r="A18" s="6"/>
      <c r="B18" s="6"/>
      <c r="C18" s="6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15" x14ac:dyDescent="0.25">
      <c r="A19" s="6"/>
      <c r="B19" s="6"/>
      <c r="C19" s="6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15" ht="21" x14ac:dyDescent="0.25">
      <c r="A20" s="6"/>
      <c r="B20" s="6"/>
      <c r="C20" s="6"/>
      <c r="D20" s="7"/>
      <c r="E20" s="7"/>
      <c r="F20" s="7"/>
      <c r="G20" s="21" t="s">
        <v>20</v>
      </c>
      <c r="H20" s="21"/>
      <c r="I20" s="21"/>
      <c r="J20" s="21"/>
      <c r="K20" s="21"/>
      <c r="L20" s="21"/>
      <c r="M20" s="21"/>
      <c r="N20" s="21"/>
      <c r="O20" s="7"/>
    </row>
    <row r="21" spans="1:15" ht="4.5" customHeight="1" x14ac:dyDescent="0.25">
      <c r="A21" s="6"/>
      <c r="B21" s="6"/>
      <c r="C21" s="6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x14ac:dyDescent="0.25">
      <c r="A22" s="6"/>
      <c r="B22" s="6"/>
      <c r="C22" s="6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x14ac:dyDescent="0.25">
      <c r="A23" s="6"/>
      <c r="B23" s="6"/>
      <c r="C23" s="6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x14ac:dyDescent="0.25">
      <c r="A24" s="6"/>
      <c r="B24" s="6"/>
      <c r="C24" s="6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x14ac:dyDescent="0.25">
      <c r="A25" s="6"/>
      <c r="B25" s="6"/>
      <c r="C25" s="6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x14ac:dyDescent="0.25">
      <c r="A26" s="6"/>
      <c r="B26" s="6"/>
      <c r="C26" s="6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</sheetData>
  <mergeCells count="3">
    <mergeCell ref="A1:C1"/>
    <mergeCell ref="G20:N20"/>
    <mergeCell ref="L1:N1"/>
  </mergeCell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fresh_Report">
                <anchor moveWithCells="1" sizeWithCells="1">
                  <from>
                    <xdr:col>7</xdr:col>
                    <xdr:colOff>104775</xdr:colOff>
                    <xdr:row>0</xdr:row>
                    <xdr:rowOff>95250</xdr:rowOff>
                  </from>
                  <to>
                    <xdr:col>9</xdr:col>
                    <xdr:colOff>447675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Raw_Data</vt:lpstr>
      <vt:lpstr>Pivot_Report 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2025-12-28T08:57:06Z</dcterms:modified>
</cp:coreProperties>
</file>