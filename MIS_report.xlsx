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MIS_Data" sheetId="1" r:id="rId1"/>
    <sheet name="MIS_Report" sheetId="2" r:id="rId2"/>
  </sheets>
  <calcPr calcId="152511"/>
</workbook>
</file>

<file path=xl/calcChain.xml><?xml version="1.0" encoding="utf-8"?>
<calcChain xmlns="http://schemas.openxmlformats.org/spreadsheetml/2006/main">
  <c r="B12" i="2" l="1"/>
  <c r="B13" i="2"/>
  <c r="B14" i="2"/>
  <c r="B11" i="2"/>
  <c r="B15" i="2" s="1"/>
  <c r="D4" i="2"/>
  <c r="C4" i="2"/>
  <c r="G95" i="1"/>
  <c r="G53" i="1"/>
  <c r="G34" i="1"/>
  <c r="G126" i="1"/>
  <c r="G74" i="1"/>
  <c r="G125" i="1"/>
  <c r="G89" i="1"/>
  <c r="G60" i="1"/>
  <c r="G93" i="1"/>
  <c r="G94" i="1"/>
  <c r="G96" i="1"/>
  <c r="G32" i="1"/>
  <c r="G33" i="1"/>
  <c r="G35" i="1"/>
  <c r="G64" i="1"/>
  <c r="G65" i="1"/>
  <c r="G28" i="1"/>
  <c r="G29" i="1"/>
  <c r="G30" i="1"/>
  <c r="G31" i="1"/>
  <c r="E4" i="2" l="1"/>
  <c r="F4" i="2" s="1"/>
  <c r="G46" i="1"/>
  <c r="G2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92" i="1"/>
  <c r="G100" i="1"/>
  <c r="G91" i="1"/>
  <c r="G90" i="1"/>
  <c r="G88" i="1"/>
  <c r="G99" i="1"/>
  <c r="G87" i="1"/>
  <c r="G98" i="1"/>
  <c r="G97" i="1"/>
  <c r="G86" i="1"/>
  <c r="G85" i="1"/>
  <c r="G84" i="1"/>
  <c r="G83" i="1"/>
  <c r="G82" i="1"/>
  <c r="G81" i="1"/>
  <c r="G80" i="1"/>
  <c r="G79" i="1"/>
  <c r="G78" i="1"/>
  <c r="G77" i="1"/>
  <c r="G76" i="1"/>
  <c r="G75" i="1"/>
  <c r="G73" i="1"/>
  <c r="G72" i="1"/>
  <c r="G71" i="1"/>
  <c r="G70" i="1"/>
  <c r="G69" i="1"/>
  <c r="G68" i="1"/>
  <c r="G67" i="1"/>
  <c r="G63" i="1"/>
  <c r="G66" i="1"/>
  <c r="G62" i="1"/>
  <c r="G61" i="1"/>
  <c r="G59" i="1"/>
  <c r="G58" i="1"/>
  <c r="G57" i="1"/>
  <c r="G56" i="1"/>
  <c r="G55" i="1"/>
  <c r="G54" i="1"/>
  <c r="G52" i="1"/>
  <c r="G51" i="1"/>
  <c r="G50" i="1"/>
  <c r="G49" i="1"/>
  <c r="G48" i="1"/>
  <c r="G47" i="1"/>
  <c r="G45" i="1"/>
  <c r="G44" i="1"/>
  <c r="G43" i="1"/>
  <c r="G42" i="1"/>
  <c r="G41" i="1"/>
  <c r="G40" i="1"/>
  <c r="G39" i="1"/>
  <c r="G38" i="1"/>
  <c r="G37" i="1"/>
  <c r="G36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<sst xmlns="http://schemas.openxmlformats.org/spreadsheetml/2006/main" count="548" uniqueCount="29">
  <si>
    <t>Month</t>
  </si>
  <si>
    <t>Product</t>
  </si>
  <si>
    <t>Region</t>
  </si>
  <si>
    <t>Jan</t>
  </si>
  <si>
    <t>Laptop</t>
  </si>
  <si>
    <t>East</t>
  </si>
  <si>
    <t>Phone</t>
  </si>
  <si>
    <t>South</t>
  </si>
  <si>
    <t>Desk</t>
  </si>
  <si>
    <t>North</t>
  </si>
  <si>
    <t>Chair</t>
  </si>
  <si>
    <t>West</t>
  </si>
  <si>
    <t>Tablet</t>
  </si>
  <si>
    <t>Monitor</t>
  </si>
  <si>
    <t>Printer</t>
  </si>
  <si>
    <t>Feb</t>
  </si>
  <si>
    <t>March</t>
  </si>
  <si>
    <t>April</t>
  </si>
  <si>
    <t>Metric</t>
  </si>
  <si>
    <t>Target</t>
  </si>
  <si>
    <t>Actutal</t>
  </si>
  <si>
    <t>Variance</t>
  </si>
  <si>
    <t>Sales</t>
  </si>
  <si>
    <t>Total Actual</t>
  </si>
  <si>
    <t>Total Target</t>
  </si>
  <si>
    <t>Profit</t>
  </si>
  <si>
    <t>Total Sale=</t>
  </si>
  <si>
    <r>
      <rPr>
        <b/>
        <sz val="28"/>
        <color theme="0"/>
        <rFont val="Calibri"/>
        <family val="2"/>
        <scheme val="minor"/>
      </rPr>
      <t>MIS Sales Performace Report</t>
    </r>
    <r>
      <rPr>
        <b/>
        <sz val="24"/>
        <color theme="0"/>
        <rFont val="Calibri"/>
        <family val="2"/>
        <scheme val="minor"/>
      </rPr>
      <t xml:space="preserve">
</t>
    </r>
    <r>
      <rPr>
        <b/>
        <sz val="14"/>
        <color theme="0"/>
        <rFont val="Calibri"/>
        <family val="2"/>
        <scheme val="minor"/>
      </rPr>
      <t>(Dynamic MIS using Excel Formulas &amp; drop-downs)</t>
    </r>
  </si>
  <si>
    <t xml:space="preserve">Drop-down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</si>
</sst>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dd\-mm\-yy;@"/>
    <numFmt numFmtId="165" formatCode="&quot;₹&quot;\ #,##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0" xfId="0" applyNumberFormat="1"/>
    <xf numFmtId="3" fontId="0" fillId="0" borderId="6" xfId="0" applyNumberForma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3" fillId="0" borderId="0" xfId="0" applyFont="1"/>
    <xf numFmtId="164" fontId="0" fillId="0" borderId="9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3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0" fontId="7" fillId="4" borderId="0" xfId="0" applyFont="1" applyFill="1"/>
    <xf numFmtId="0" fontId="7" fillId="4" borderId="0" xfId="0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[$-14009]dd\-mm\-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Medium9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Month</a:t>
            </a:r>
            <a:r>
              <a:rPr lang="en-IN" b="1" baseline="0">
                <a:solidFill>
                  <a:schemeClr val="tx1"/>
                </a:solidFill>
              </a:rPr>
              <a:t>-wise MIS Performance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56041119860017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MIS_Report!$A$11:$A$14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MIS_Report!$B$11:$B$14</c:f>
              <c:numCache>
                <c:formatCode>#,##0</c:formatCode>
                <c:ptCount val="4"/>
                <c:pt idx="0">
                  <c:v>3577000</c:v>
                </c:pt>
                <c:pt idx="1">
                  <c:v>3839000</c:v>
                </c:pt>
                <c:pt idx="2">
                  <c:v>4447000</c:v>
                </c:pt>
                <c:pt idx="3">
                  <c:v>7436000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254152"/>
        <c:axId val="262254536"/>
      </c:barChart>
      <c:catAx>
        <c:axId val="26225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254536"/>
        <c:crosses val="autoZero"/>
        <c:auto val="1"/>
        <c:lblAlgn val="ctr"/>
        <c:lblOffset val="100"/>
        <c:noMultiLvlLbl val="0"/>
      </c:catAx>
      <c:valAx>
        <c:axId val="26225453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62254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233362</xdr:rowOff>
    </xdr:from>
    <xdr:to>
      <xdr:col>9</xdr:col>
      <xdr:colOff>600075</xdr:colOff>
      <xdr:row>19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1000125</xdr:colOff>
      <xdr:row>2</xdr:row>
      <xdr:rowOff>133350</xdr:rowOff>
    </xdr:from>
    <xdr:to>
      <xdr:col>1</xdr:col>
      <xdr:colOff>1085850</xdr:colOff>
      <xdr:row>2</xdr:row>
      <xdr:rowOff>314325</xdr:rowOff>
    </xdr:to>
    <xdr:sp macro="" textlink="">
      <xdr:nvSpPr>
        <xdr:cNvPr id="4" name="Down Arrow 3"/>
        <xdr:cNvSpPr/>
      </xdr:nvSpPr>
      <xdr:spPr>
        <a:xfrm>
          <a:off x="1781175" y="1047750"/>
          <a:ext cx="85725" cy="180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G126" totalsRowShown="0" headerRowDxfId="13" dataDxfId="11" headerRowBorderDxfId="12" tableBorderDxfId="10" totalsRowBorderDxfId="9">
  <autoFilter ref="A1:G126"/>
  <sortState ref="A2:G118">
    <sortCondition ref="A2:A118" customList="Jan,Feb,March,April"/>
  </sortState>
  <tableColumns count="7">
    <tableColumn id="1" name="Month" dataDxfId="8"/>
    <tableColumn id="2" name="Product" dataDxfId="7"/>
    <tableColumn id="3" name="Region" dataDxfId="6"/>
    <tableColumn id="4" name="Metric" dataDxfId="5"/>
    <tableColumn id="5" name="Target" dataDxfId="4"/>
    <tableColumn id="6" name="Actutal" dataDxfId="3">
      <calculatedColumnFormula>Table1[[#This Row],[Metric]]*Table1[[#This Row],[Target]]</calculatedColumnFormula>
    </tableColumn>
    <tableColumn id="7" name="Variance" dataDxfId="2">
      <calculatedColumnFormula>F2-E2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workbookViewId="0">
      <selection activeCell="E10" sqref="E10"/>
    </sheetView>
  </sheetViews>
  <sheetFormatPr defaultRowHeight="15" x14ac:dyDescent="0.25"/>
  <cols>
    <col min="4" max="4" width="11.140625" customWidth="1"/>
    <col min="5" max="7" width="9.140625" style="5"/>
    <col min="9" max="12" width="9.140625" style="19"/>
  </cols>
  <sheetData>
    <row r="1" spans="1:12" ht="15.75" x14ac:dyDescent="0.25">
      <c r="A1" s="16" t="s">
        <v>0</v>
      </c>
      <c r="B1" s="17" t="s">
        <v>1</v>
      </c>
      <c r="C1" s="17" t="s">
        <v>2</v>
      </c>
      <c r="D1" s="7" t="s">
        <v>18</v>
      </c>
      <c r="E1" s="7" t="s">
        <v>19</v>
      </c>
      <c r="F1" s="18" t="s">
        <v>20</v>
      </c>
      <c r="G1" s="7" t="s">
        <v>21</v>
      </c>
      <c r="I1" s="10" t="s">
        <v>0</v>
      </c>
      <c r="J1" s="10" t="s">
        <v>1</v>
      </c>
      <c r="K1" s="10" t="s">
        <v>2</v>
      </c>
      <c r="L1" s="10" t="s">
        <v>18</v>
      </c>
    </row>
    <row r="2" spans="1:12" x14ac:dyDescent="0.25">
      <c r="A2" s="1" t="s">
        <v>3</v>
      </c>
      <c r="B2" s="2" t="s">
        <v>4</v>
      </c>
      <c r="C2" s="2" t="s">
        <v>5</v>
      </c>
      <c r="D2" s="3" t="s">
        <v>22</v>
      </c>
      <c r="E2" s="3">
        <v>80000</v>
      </c>
      <c r="F2" s="6">
        <v>75000</v>
      </c>
      <c r="G2" s="8">
        <f t="shared" ref="G2:G33" si="0">F2-E2</f>
        <v>-5000</v>
      </c>
      <c r="I2" s="11" t="s">
        <v>3</v>
      </c>
      <c r="J2" s="9" t="s">
        <v>10</v>
      </c>
      <c r="K2" s="9" t="s">
        <v>11</v>
      </c>
      <c r="L2" s="19" t="s">
        <v>22</v>
      </c>
    </row>
    <row r="3" spans="1:12" x14ac:dyDescent="0.25">
      <c r="A3" s="1" t="s">
        <v>3</v>
      </c>
      <c r="B3" s="2" t="s">
        <v>6</v>
      </c>
      <c r="C3" s="2" t="s">
        <v>7</v>
      </c>
      <c r="D3" s="3" t="s">
        <v>22</v>
      </c>
      <c r="E3" s="3">
        <v>200000</v>
      </c>
      <c r="F3" s="6">
        <v>210000</v>
      </c>
      <c r="G3" s="8">
        <f t="shared" si="0"/>
        <v>10000</v>
      </c>
      <c r="I3" s="11" t="s">
        <v>15</v>
      </c>
      <c r="J3" s="9" t="s">
        <v>6</v>
      </c>
      <c r="K3" s="9" t="s">
        <v>7</v>
      </c>
      <c r="L3" s="19" t="s">
        <v>25</v>
      </c>
    </row>
    <row r="4" spans="1:12" x14ac:dyDescent="0.25">
      <c r="A4" s="1" t="s">
        <v>3</v>
      </c>
      <c r="B4" s="2" t="s">
        <v>8</v>
      </c>
      <c r="C4" s="2" t="s">
        <v>9</v>
      </c>
      <c r="D4" s="3" t="s">
        <v>22</v>
      </c>
      <c r="E4" s="3">
        <v>50000</v>
      </c>
      <c r="F4" s="6">
        <v>60000</v>
      </c>
      <c r="G4" s="8">
        <f t="shared" si="0"/>
        <v>10000</v>
      </c>
      <c r="I4" s="11" t="s">
        <v>16</v>
      </c>
      <c r="J4" s="9" t="s">
        <v>4</v>
      </c>
      <c r="K4" s="9" t="s">
        <v>5</v>
      </c>
    </row>
    <row r="5" spans="1:12" x14ac:dyDescent="0.25">
      <c r="A5" s="1" t="s">
        <v>3</v>
      </c>
      <c r="B5" s="2" t="s">
        <v>10</v>
      </c>
      <c r="C5" s="2" t="s">
        <v>11</v>
      </c>
      <c r="D5" s="3" t="s">
        <v>22</v>
      </c>
      <c r="E5" s="3">
        <v>50000</v>
      </c>
      <c r="F5" s="6">
        <v>47000</v>
      </c>
      <c r="G5" s="8">
        <f t="shared" si="0"/>
        <v>-3000</v>
      </c>
      <c r="I5" s="11" t="s">
        <v>17</v>
      </c>
      <c r="J5" s="9" t="s">
        <v>8</v>
      </c>
      <c r="K5" s="9" t="s">
        <v>9</v>
      </c>
    </row>
    <row r="6" spans="1:12" x14ac:dyDescent="0.25">
      <c r="A6" s="1" t="s">
        <v>3</v>
      </c>
      <c r="B6" s="2" t="s">
        <v>12</v>
      </c>
      <c r="C6" s="2" t="s">
        <v>11</v>
      </c>
      <c r="D6" s="3" t="s">
        <v>22</v>
      </c>
      <c r="E6" s="3">
        <v>200000</v>
      </c>
      <c r="F6" s="6">
        <v>220000</v>
      </c>
      <c r="G6" s="8">
        <f t="shared" si="0"/>
        <v>20000</v>
      </c>
      <c r="I6" s="20"/>
      <c r="J6" s="9" t="s">
        <v>12</v>
      </c>
      <c r="K6" s="9"/>
    </row>
    <row r="7" spans="1:12" x14ac:dyDescent="0.25">
      <c r="A7" s="1" t="s">
        <v>3</v>
      </c>
      <c r="B7" s="2" t="s">
        <v>13</v>
      </c>
      <c r="C7" s="2" t="s">
        <v>9</v>
      </c>
      <c r="D7" s="3" t="s">
        <v>22</v>
      </c>
      <c r="E7" s="3">
        <v>80000</v>
      </c>
      <c r="F7" s="6">
        <v>50000</v>
      </c>
      <c r="G7" s="8">
        <f t="shared" si="0"/>
        <v>-30000</v>
      </c>
      <c r="I7" s="20"/>
      <c r="J7" s="9" t="s">
        <v>13</v>
      </c>
      <c r="K7" s="9"/>
    </row>
    <row r="8" spans="1:12" x14ac:dyDescent="0.25">
      <c r="A8" s="1" t="s">
        <v>3</v>
      </c>
      <c r="B8" s="2" t="s">
        <v>14</v>
      </c>
      <c r="C8" s="2" t="s">
        <v>7</v>
      </c>
      <c r="D8" s="3" t="s">
        <v>22</v>
      </c>
      <c r="E8" s="3">
        <v>150000</v>
      </c>
      <c r="F8" s="6">
        <v>170000</v>
      </c>
      <c r="G8" s="8">
        <f t="shared" si="0"/>
        <v>20000</v>
      </c>
      <c r="I8" s="20"/>
      <c r="J8" s="9" t="s">
        <v>14</v>
      </c>
      <c r="K8" s="9"/>
    </row>
    <row r="9" spans="1:12" x14ac:dyDescent="0.25">
      <c r="A9" s="1" t="s">
        <v>3</v>
      </c>
      <c r="B9" s="2" t="s">
        <v>10</v>
      </c>
      <c r="C9" s="2" t="s">
        <v>9</v>
      </c>
      <c r="D9" s="3" t="s">
        <v>22</v>
      </c>
      <c r="E9" s="3">
        <v>50000</v>
      </c>
      <c r="F9" s="6">
        <v>52000</v>
      </c>
      <c r="G9" s="8">
        <f t="shared" si="0"/>
        <v>2000</v>
      </c>
      <c r="I9" s="20"/>
      <c r="J9" s="20"/>
      <c r="K9" s="9"/>
    </row>
    <row r="10" spans="1:12" x14ac:dyDescent="0.25">
      <c r="A10" s="1" t="s">
        <v>3</v>
      </c>
      <c r="B10" s="2" t="s">
        <v>10</v>
      </c>
      <c r="C10" s="2" t="s">
        <v>7</v>
      </c>
      <c r="D10" s="3" t="s">
        <v>22</v>
      </c>
      <c r="E10" s="3">
        <v>50000</v>
      </c>
      <c r="F10" s="6">
        <v>50000</v>
      </c>
      <c r="G10" s="8">
        <f t="shared" si="0"/>
        <v>0</v>
      </c>
      <c r="J10" s="20"/>
      <c r="K10" s="20"/>
    </row>
    <row r="11" spans="1:12" x14ac:dyDescent="0.25">
      <c r="A11" s="1" t="s">
        <v>3</v>
      </c>
      <c r="B11" s="2" t="s">
        <v>8</v>
      </c>
      <c r="C11" s="2" t="s">
        <v>11</v>
      </c>
      <c r="D11" s="3" t="s">
        <v>22</v>
      </c>
      <c r="E11" s="3">
        <v>50000</v>
      </c>
      <c r="F11" s="6">
        <v>55000</v>
      </c>
      <c r="G11" s="8">
        <f t="shared" si="0"/>
        <v>5000</v>
      </c>
    </row>
    <row r="12" spans="1:12" x14ac:dyDescent="0.25">
      <c r="A12" s="1" t="s">
        <v>3</v>
      </c>
      <c r="B12" s="2" t="s">
        <v>8</v>
      </c>
      <c r="C12" s="2" t="s">
        <v>5</v>
      </c>
      <c r="D12" s="3" t="s">
        <v>22</v>
      </c>
      <c r="E12" s="3">
        <v>50000</v>
      </c>
      <c r="F12" s="6">
        <v>50000</v>
      </c>
      <c r="G12" s="8">
        <f t="shared" si="0"/>
        <v>0</v>
      </c>
    </row>
    <row r="13" spans="1:12" x14ac:dyDescent="0.25">
      <c r="A13" s="1" t="s">
        <v>3</v>
      </c>
      <c r="B13" s="2" t="s">
        <v>6</v>
      </c>
      <c r="C13" s="2" t="s">
        <v>5</v>
      </c>
      <c r="D13" s="3" t="s">
        <v>22</v>
      </c>
      <c r="E13" s="3">
        <v>200000</v>
      </c>
      <c r="F13" s="6">
        <v>240000</v>
      </c>
      <c r="G13" s="8">
        <f t="shared" si="0"/>
        <v>40000</v>
      </c>
    </row>
    <row r="14" spans="1:12" x14ac:dyDescent="0.25">
      <c r="A14" s="1" t="s">
        <v>3</v>
      </c>
      <c r="B14" s="2" t="s">
        <v>6</v>
      </c>
      <c r="C14" s="2" t="s">
        <v>9</v>
      </c>
      <c r="D14" s="3" t="s">
        <v>22</v>
      </c>
      <c r="E14" s="3">
        <v>200000</v>
      </c>
      <c r="F14" s="6">
        <v>200000</v>
      </c>
      <c r="G14" s="8">
        <f t="shared" si="0"/>
        <v>0</v>
      </c>
    </row>
    <row r="15" spans="1:12" x14ac:dyDescent="0.25">
      <c r="A15" s="1" t="s">
        <v>3</v>
      </c>
      <c r="B15" s="2" t="s">
        <v>12</v>
      </c>
      <c r="C15" s="2" t="s">
        <v>7</v>
      </c>
      <c r="D15" s="3" t="s">
        <v>22</v>
      </c>
      <c r="E15" s="3">
        <v>200000</v>
      </c>
      <c r="F15" s="6">
        <v>200000</v>
      </c>
      <c r="G15" s="8">
        <f t="shared" si="0"/>
        <v>0</v>
      </c>
    </row>
    <row r="16" spans="1:12" x14ac:dyDescent="0.25">
      <c r="A16" s="1" t="s">
        <v>3</v>
      </c>
      <c r="B16" s="2" t="s">
        <v>8</v>
      </c>
      <c r="C16" s="2" t="s">
        <v>7</v>
      </c>
      <c r="D16" s="3" t="s">
        <v>22</v>
      </c>
      <c r="E16" s="3">
        <v>50000</v>
      </c>
      <c r="F16" s="6">
        <v>48000</v>
      </c>
      <c r="G16" s="8">
        <f t="shared" si="0"/>
        <v>-2000</v>
      </c>
    </row>
    <row r="17" spans="1:7" x14ac:dyDescent="0.25">
      <c r="A17" s="1" t="s">
        <v>3</v>
      </c>
      <c r="B17" s="2" t="s">
        <v>10</v>
      </c>
      <c r="C17" s="2" t="s">
        <v>5</v>
      </c>
      <c r="D17" s="3" t="s">
        <v>22</v>
      </c>
      <c r="E17" s="3">
        <v>50000</v>
      </c>
      <c r="F17" s="6">
        <v>60000</v>
      </c>
      <c r="G17" s="8">
        <f t="shared" si="0"/>
        <v>10000</v>
      </c>
    </row>
    <row r="18" spans="1:7" x14ac:dyDescent="0.25">
      <c r="A18" s="1" t="s">
        <v>3</v>
      </c>
      <c r="B18" s="2" t="s">
        <v>4</v>
      </c>
      <c r="C18" s="2" t="s">
        <v>11</v>
      </c>
      <c r="D18" s="3" t="s">
        <v>22</v>
      </c>
      <c r="E18" s="3">
        <v>80000</v>
      </c>
      <c r="F18" s="3">
        <v>80000</v>
      </c>
      <c r="G18" s="8">
        <f t="shared" si="0"/>
        <v>0</v>
      </c>
    </row>
    <row r="19" spans="1:7" x14ac:dyDescent="0.25">
      <c r="A19" s="1" t="s">
        <v>3</v>
      </c>
      <c r="B19" s="2" t="s">
        <v>6</v>
      </c>
      <c r="C19" s="2" t="s">
        <v>5</v>
      </c>
      <c r="D19" s="3" t="s">
        <v>25</v>
      </c>
      <c r="E19" s="3">
        <v>20000</v>
      </c>
      <c r="F19" s="6">
        <v>30000</v>
      </c>
      <c r="G19" s="8">
        <f t="shared" si="0"/>
        <v>10000</v>
      </c>
    </row>
    <row r="20" spans="1:7" x14ac:dyDescent="0.25">
      <c r="A20" s="1" t="s">
        <v>3</v>
      </c>
      <c r="B20" s="2" t="s">
        <v>6</v>
      </c>
      <c r="C20" s="2" t="s">
        <v>11</v>
      </c>
      <c r="D20" s="3" t="s">
        <v>22</v>
      </c>
      <c r="E20" s="3">
        <v>200000</v>
      </c>
      <c r="F20" s="6">
        <v>175000</v>
      </c>
      <c r="G20" s="8">
        <f t="shared" si="0"/>
        <v>-25000</v>
      </c>
    </row>
    <row r="21" spans="1:7" x14ac:dyDescent="0.25">
      <c r="A21" s="1" t="s">
        <v>3</v>
      </c>
      <c r="B21" s="2" t="s">
        <v>4</v>
      </c>
      <c r="C21" s="2" t="s">
        <v>9</v>
      </c>
      <c r="D21" s="3" t="s">
        <v>22</v>
      </c>
      <c r="E21" s="3">
        <v>80000</v>
      </c>
      <c r="F21" s="3">
        <v>80000</v>
      </c>
      <c r="G21" s="8">
        <f t="shared" si="0"/>
        <v>0</v>
      </c>
    </row>
    <row r="22" spans="1:7" x14ac:dyDescent="0.25">
      <c r="A22" s="1" t="s">
        <v>3</v>
      </c>
      <c r="B22" s="2" t="s">
        <v>6</v>
      </c>
      <c r="C22" s="2" t="s">
        <v>9</v>
      </c>
      <c r="D22" s="3" t="s">
        <v>25</v>
      </c>
      <c r="E22" s="3">
        <v>50000</v>
      </c>
      <c r="F22" s="6">
        <v>50000</v>
      </c>
      <c r="G22" s="8">
        <f t="shared" si="0"/>
        <v>0</v>
      </c>
    </row>
    <row r="23" spans="1:7" x14ac:dyDescent="0.25">
      <c r="A23" s="1" t="s">
        <v>3</v>
      </c>
      <c r="B23" s="2" t="s">
        <v>6</v>
      </c>
      <c r="C23" s="2" t="s">
        <v>11</v>
      </c>
      <c r="D23" s="3" t="s">
        <v>25</v>
      </c>
      <c r="E23" s="3">
        <v>50000</v>
      </c>
      <c r="F23" s="6">
        <v>40000</v>
      </c>
      <c r="G23" s="8">
        <f t="shared" si="0"/>
        <v>-10000</v>
      </c>
    </row>
    <row r="24" spans="1:7" x14ac:dyDescent="0.25">
      <c r="A24" s="1" t="s">
        <v>3</v>
      </c>
      <c r="B24" s="2" t="s">
        <v>6</v>
      </c>
      <c r="C24" s="2" t="s">
        <v>7</v>
      </c>
      <c r="D24" s="3" t="s">
        <v>25</v>
      </c>
      <c r="E24" s="3">
        <v>50000</v>
      </c>
      <c r="F24" s="6">
        <v>60000</v>
      </c>
      <c r="G24" s="8">
        <f t="shared" si="0"/>
        <v>10000</v>
      </c>
    </row>
    <row r="25" spans="1:7" x14ac:dyDescent="0.25">
      <c r="A25" s="1" t="s">
        <v>3</v>
      </c>
      <c r="B25" s="2" t="s">
        <v>4</v>
      </c>
      <c r="C25" s="2" t="s">
        <v>7</v>
      </c>
      <c r="D25" s="3" t="s">
        <v>22</v>
      </c>
      <c r="E25" s="3">
        <v>80000</v>
      </c>
      <c r="F25" s="6">
        <v>100000</v>
      </c>
      <c r="G25" s="8">
        <f t="shared" si="0"/>
        <v>20000</v>
      </c>
    </row>
    <row r="26" spans="1:7" x14ac:dyDescent="0.25">
      <c r="A26" s="1" t="s">
        <v>3</v>
      </c>
      <c r="B26" s="2" t="s">
        <v>12</v>
      </c>
      <c r="C26" s="2" t="s">
        <v>9</v>
      </c>
      <c r="D26" s="3" t="s">
        <v>22</v>
      </c>
      <c r="E26" s="3">
        <v>200000</v>
      </c>
      <c r="F26" s="6">
        <v>230000</v>
      </c>
      <c r="G26" s="8">
        <f t="shared" si="0"/>
        <v>30000</v>
      </c>
    </row>
    <row r="27" spans="1:7" x14ac:dyDescent="0.25">
      <c r="A27" s="1" t="s">
        <v>3</v>
      </c>
      <c r="B27" s="2" t="s">
        <v>12</v>
      </c>
      <c r="C27" s="2" t="s">
        <v>5</v>
      </c>
      <c r="D27" s="3" t="s">
        <v>22</v>
      </c>
      <c r="E27" s="3">
        <v>200000</v>
      </c>
      <c r="F27" s="6">
        <v>190000</v>
      </c>
      <c r="G27" s="8">
        <f t="shared" si="0"/>
        <v>-10000</v>
      </c>
    </row>
    <row r="28" spans="1:7" x14ac:dyDescent="0.25">
      <c r="A28" s="1" t="s">
        <v>3</v>
      </c>
      <c r="B28" s="2" t="s">
        <v>13</v>
      </c>
      <c r="C28" s="2" t="s">
        <v>5</v>
      </c>
      <c r="D28" s="3" t="s">
        <v>22</v>
      </c>
      <c r="E28" s="3">
        <v>80000</v>
      </c>
      <c r="F28" s="6">
        <v>70000</v>
      </c>
      <c r="G28" s="8">
        <f t="shared" si="0"/>
        <v>-10000</v>
      </c>
    </row>
    <row r="29" spans="1:7" x14ac:dyDescent="0.25">
      <c r="A29" s="1" t="s">
        <v>3</v>
      </c>
      <c r="B29" s="2" t="s">
        <v>13</v>
      </c>
      <c r="C29" s="2" t="s">
        <v>11</v>
      </c>
      <c r="D29" s="3" t="s">
        <v>22</v>
      </c>
      <c r="E29" s="3">
        <v>80000</v>
      </c>
      <c r="F29" s="6">
        <v>80000</v>
      </c>
      <c r="G29" s="8">
        <f t="shared" si="0"/>
        <v>0</v>
      </c>
    </row>
    <row r="30" spans="1:7" x14ac:dyDescent="0.25">
      <c r="A30" s="1" t="s">
        <v>3</v>
      </c>
      <c r="B30" s="2" t="s">
        <v>13</v>
      </c>
      <c r="C30" s="2" t="s">
        <v>7</v>
      </c>
      <c r="D30" s="3" t="s">
        <v>22</v>
      </c>
      <c r="E30" s="6">
        <v>80000</v>
      </c>
      <c r="F30" s="6">
        <v>85000</v>
      </c>
      <c r="G30" s="8">
        <f t="shared" si="0"/>
        <v>5000</v>
      </c>
    </row>
    <row r="31" spans="1:7" x14ac:dyDescent="0.25">
      <c r="A31" s="1" t="s">
        <v>3</v>
      </c>
      <c r="B31" s="2" t="s">
        <v>13</v>
      </c>
      <c r="C31" s="2" t="s">
        <v>5</v>
      </c>
      <c r="D31" s="3" t="s">
        <v>25</v>
      </c>
      <c r="E31" s="6">
        <v>20000</v>
      </c>
      <c r="F31" s="6">
        <v>17000</v>
      </c>
      <c r="G31" s="8">
        <f t="shared" si="0"/>
        <v>-3000</v>
      </c>
    </row>
    <row r="32" spans="1:7" x14ac:dyDescent="0.25">
      <c r="A32" s="1" t="s">
        <v>3</v>
      </c>
      <c r="B32" s="2" t="s">
        <v>14</v>
      </c>
      <c r="C32" s="2" t="s">
        <v>11</v>
      </c>
      <c r="D32" s="3" t="s">
        <v>22</v>
      </c>
      <c r="E32" s="3">
        <v>150000</v>
      </c>
      <c r="F32" s="6">
        <v>150000</v>
      </c>
      <c r="G32" s="8">
        <f t="shared" si="0"/>
        <v>0</v>
      </c>
    </row>
    <row r="33" spans="1:7" x14ac:dyDescent="0.25">
      <c r="A33" s="1" t="s">
        <v>3</v>
      </c>
      <c r="B33" s="2" t="s">
        <v>14</v>
      </c>
      <c r="C33" s="2" t="s">
        <v>9</v>
      </c>
      <c r="D33" s="3" t="s">
        <v>22</v>
      </c>
      <c r="E33" s="3">
        <v>150000</v>
      </c>
      <c r="F33" s="6">
        <v>140000</v>
      </c>
      <c r="G33" s="8">
        <f t="shared" si="0"/>
        <v>-10000</v>
      </c>
    </row>
    <row r="34" spans="1:7" x14ac:dyDescent="0.25">
      <c r="A34" s="1" t="s">
        <v>3</v>
      </c>
      <c r="B34" s="2" t="s">
        <v>14</v>
      </c>
      <c r="C34" s="2" t="s">
        <v>9</v>
      </c>
      <c r="D34" s="3" t="s">
        <v>25</v>
      </c>
      <c r="E34" s="3">
        <v>40000</v>
      </c>
      <c r="F34" s="6">
        <v>38000</v>
      </c>
      <c r="G34" s="3">
        <f t="shared" ref="G34:G65" si="1">F34-E34</f>
        <v>-2000</v>
      </c>
    </row>
    <row r="35" spans="1:7" x14ac:dyDescent="0.25">
      <c r="A35" s="1" t="s">
        <v>3</v>
      </c>
      <c r="B35" s="2" t="s">
        <v>14</v>
      </c>
      <c r="C35" s="2" t="s">
        <v>5</v>
      </c>
      <c r="D35" s="3" t="s">
        <v>22</v>
      </c>
      <c r="E35" s="3">
        <v>150000</v>
      </c>
      <c r="F35" s="6">
        <v>175000</v>
      </c>
      <c r="G35" s="8">
        <f t="shared" si="1"/>
        <v>25000</v>
      </c>
    </row>
    <row r="36" spans="1:7" x14ac:dyDescent="0.25">
      <c r="A36" s="1" t="s">
        <v>15</v>
      </c>
      <c r="B36" s="2" t="s">
        <v>6</v>
      </c>
      <c r="C36" s="2" t="s">
        <v>11</v>
      </c>
      <c r="D36" s="3" t="s">
        <v>22</v>
      </c>
      <c r="E36" s="3">
        <v>200000</v>
      </c>
      <c r="F36" s="6">
        <v>200000</v>
      </c>
      <c r="G36" s="8">
        <f t="shared" si="1"/>
        <v>0</v>
      </c>
    </row>
    <row r="37" spans="1:7" x14ac:dyDescent="0.25">
      <c r="A37" s="1" t="s">
        <v>15</v>
      </c>
      <c r="B37" s="2" t="s">
        <v>4</v>
      </c>
      <c r="C37" s="2" t="s">
        <v>9</v>
      </c>
      <c r="D37" s="3" t="s">
        <v>22</v>
      </c>
      <c r="E37" s="3">
        <v>100000</v>
      </c>
      <c r="F37" s="6">
        <v>90000</v>
      </c>
      <c r="G37" s="3">
        <f t="shared" si="1"/>
        <v>-10000</v>
      </c>
    </row>
    <row r="38" spans="1:7" x14ac:dyDescent="0.25">
      <c r="A38" s="1" t="s">
        <v>15</v>
      </c>
      <c r="B38" s="2" t="s">
        <v>12</v>
      </c>
      <c r="C38" s="2" t="s">
        <v>11</v>
      </c>
      <c r="D38" s="3" t="s">
        <v>22</v>
      </c>
      <c r="E38" s="3">
        <v>220000</v>
      </c>
      <c r="F38" s="6">
        <v>220000</v>
      </c>
      <c r="G38" s="3">
        <f t="shared" si="1"/>
        <v>0</v>
      </c>
    </row>
    <row r="39" spans="1:7" x14ac:dyDescent="0.25">
      <c r="A39" s="1" t="s">
        <v>15</v>
      </c>
      <c r="B39" s="2" t="s">
        <v>12</v>
      </c>
      <c r="C39" s="2" t="s">
        <v>7</v>
      </c>
      <c r="D39" s="3" t="s">
        <v>22</v>
      </c>
      <c r="E39" s="3">
        <v>220000</v>
      </c>
      <c r="F39" s="6">
        <v>220000</v>
      </c>
      <c r="G39" s="3">
        <f t="shared" si="1"/>
        <v>0</v>
      </c>
    </row>
    <row r="40" spans="1:7" x14ac:dyDescent="0.25">
      <c r="A40" s="1" t="s">
        <v>15</v>
      </c>
      <c r="B40" s="2" t="s">
        <v>8</v>
      </c>
      <c r="C40" s="2" t="s">
        <v>9</v>
      </c>
      <c r="D40" s="3" t="s">
        <v>22</v>
      </c>
      <c r="E40" s="3">
        <v>55000</v>
      </c>
      <c r="F40" s="6">
        <v>60000</v>
      </c>
      <c r="G40" s="3">
        <f t="shared" si="1"/>
        <v>5000</v>
      </c>
    </row>
    <row r="41" spans="1:7" x14ac:dyDescent="0.25">
      <c r="A41" s="1" t="s">
        <v>15</v>
      </c>
      <c r="B41" s="2" t="s">
        <v>6</v>
      </c>
      <c r="C41" s="2" t="s">
        <v>9</v>
      </c>
      <c r="D41" s="3" t="s">
        <v>22</v>
      </c>
      <c r="E41" s="3">
        <v>250000</v>
      </c>
      <c r="F41" s="6">
        <v>235000</v>
      </c>
      <c r="G41" s="8">
        <f t="shared" si="1"/>
        <v>-15000</v>
      </c>
    </row>
    <row r="42" spans="1:7" x14ac:dyDescent="0.25">
      <c r="A42" s="1" t="s">
        <v>15</v>
      </c>
      <c r="B42" s="2" t="s">
        <v>8</v>
      </c>
      <c r="C42" s="2" t="s">
        <v>5</v>
      </c>
      <c r="D42" s="3" t="s">
        <v>22</v>
      </c>
      <c r="E42" s="6">
        <v>55000</v>
      </c>
      <c r="F42" s="6">
        <v>60000</v>
      </c>
      <c r="G42" s="8">
        <f t="shared" si="1"/>
        <v>5000</v>
      </c>
    </row>
    <row r="43" spans="1:7" x14ac:dyDescent="0.25">
      <c r="A43" s="1" t="s">
        <v>15</v>
      </c>
      <c r="B43" s="2" t="s">
        <v>8</v>
      </c>
      <c r="C43" s="2" t="s">
        <v>11</v>
      </c>
      <c r="D43" s="3" t="s">
        <v>22</v>
      </c>
      <c r="E43" s="3">
        <v>55000</v>
      </c>
      <c r="F43" s="6">
        <v>65000</v>
      </c>
      <c r="G43" s="8">
        <f t="shared" si="1"/>
        <v>10000</v>
      </c>
    </row>
    <row r="44" spans="1:7" x14ac:dyDescent="0.25">
      <c r="A44" s="1" t="s">
        <v>15</v>
      </c>
      <c r="B44" s="2" t="s">
        <v>13</v>
      </c>
      <c r="C44" s="2" t="s">
        <v>9</v>
      </c>
      <c r="D44" s="3" t="s">
        <v>22</v>
      </c>
      <c r="E44" s="3">
        <v>80000</v>
      </c>
      <c r="F44" s="6">
        <v>70000</v>
      </c>
      <c r="G44" s="8">
        <f t="shared" si="1"/>
        <v>-10000</v>
      </c>
    </row>
    <row r="45" spans="1:7" x14ac:dyDescent="0.25">
      <c r="A45" s="1" t="s">
        <v>15</v>
      </c>
      <c r="B45" s="2" t="s">
        <v>12</v>
      </c>
      <c r="C45" s="2" t="s">
        <v>9</v>
      </c>
      <c r="D45" s="3" t="s">
        <v>22</v>
      </c>
      <c r="E45" s="3">
        <v>250000</v>
      </c>
      <c r="F45" s="6">
        <v>240000</v>
      </c>
      <c r="G45" s="3">
        <f t="shared" si="1"/>
        <v>-10000</v>
      </c>
    </row>
    <row r="46" spans="1:7" x14ac:dyDescent="0.25">
      <c r="A46" s="1" t="s">
        <v>15</v>
      </c>
      <c r="B46" s="2" t="s">
        <v>10</v>
      </c>
      <c r="C46" s="2" t="s">
        <v>7</v>
      </c>
      <c r="D46" s="3" t="s">
        <v>22</v>
      </c>
      <c r="E46" s="3">
        <v>60000</v>
      </c>
      <c r="F46" s="6">
        <v>60000</v>
      </c>
      <c r="G46" s="3">
        <f t="shared" si="1"/>
        <v>0</v>
      </c>
    </row>
    <row r="47" spans="1:7" x14ac:dyDescent="0.25">
      <c r="A47" s="1" t="s">
        <v>15</v>
      </c>
      <c r="B47" s="2" t="s">
        <v>10</v>
      </c>
      <c r="C47" s="2" t="s">
        <v>9</v>
      </c>
      <c r="D47" s="3" t="s">
        <v>22</v>
      </c>
      <c r="E47" s="3">
        <v>60000</v>
      </c>
      <c r="F47" s="6">
        <v>80000</v>
      </c>
      <c r="G47" s="3">
        <f t="shared" si="1"/>
        <v>20000</v>
      </c>
    </row>
    <row r="48" spans="1:7" x14ac:dyDescent="0.25">
      <c r="A48" s="1" t="s">
        <v>15</v>
      </c>
      <c r="B48" s="2" t="s">
        <v>14</v>
      </c>
      <c r="C48" s="2" t="s">
        <v>7</v>
      </c>
      <c r="D48" s="3" t="s">
        <v>22</v>
      </c>
      <c r="E48" s="3">
        <v>175000</v>
      </c>
      <c r="F48" s="3">
        <v>175000</v>
      </c>
      <c r="G48" s="8">
        <f t="shared" si="1"/>
        <v>0</v>
      </c>
    </row>
    <row r="49" spans="1:7" x14ac:dyDescent="0.25">
      <c r="A49" s="1" t="s">
        <v>15</v>
      </c>
      <c r="B49" s="2" t="s">
        <v>4</v>
      </c>
      <c r="C49" s="2" t="s">
        <v>5</v>
      </c>
      <c r="D49" s="3" t="s">
        <v>22</v>
      </c>
      <c r="E49" s="3">
        <v>100000</v>
      </c>
      <c r="F49" s="6">
        <v>110000</v>
      </c>
      <c r="G49" s="8">
        <f t="shared" si="1"/>
        <v>10000</v>
      </c>
    </row>
    <row r="50" spans="1:7" x14ac:dyDescent="0.25">
      <c r="A50" s="1" t="s">
        <v>15</v>
      </c>
      <c r="B50" s="2" t="s">
        <v>14</v>
      </c>
      <c r="C50" s="2" t="s">
        <v>5</v>
      </c>
      <c r="D50" s="3" t="s">
        <v>22</v>
      </c>
      <c r="E50" s="3">
        <v>175000</v>
      </c>
      <c r="F50" s="3">
        <v>175000</v>
      </c>
      <c r="G50" s="8">
        <f t="shared" si="1"/>
        <v>0</v>
      </c>
    </row>
    <row r="51" spans="1:7" x14ac:dyDescent="0.25">
      <c r="A51" s="1" t="s">
        <v>15</v>
      </c>
      <c r="B51" s="2" t="s">
        <v>14</v>
      </c>
      <c r="C51" s="2" t="s">
        <v>11</v>
      </c>
      <c r="D51" s="3" t="s">
        <v>22</v>
      </c>
      <c r="E51" s="3">
        <v>175000</v>
      </c>
      <c r="F51" s="3">
        <v>175000</v>
      </c>
      <c r="G51" s="8">
        <f t="shared" si="1"/>
        <v>0</v>
      </c>
    </row>
    <row r="52" spans="1:7" x14ac:dyDescent="0.25">
      <c r="A52" s="1" t="s">
        <v>15</v>
      </c>
      <c r="B52" s="2" t="s">
        <v>4</v>
      </c>
      <c r="C52" s="2" t="s">
        <v>11</v>
      </c>
      <c r="D52" s="3" t="s">
        <v>22</v>
      </c>
      <c r="E52" s="3">
        <v>100000</v>
      </c>
      <c r="F52" s="6">
        <v>125000</v>
      </c>
      <c r="G52" s="8">
        <f t="shared" si="1"/>
        <v>25000</v>
      </c>
    </row>
    <row r="53" spans="1:7" x14ac:dyDescent="0.25">
      <c r="A53" s="1" t="s">
        <v>15</v>
      </c>
      <c r="B53" s="2" t="s">
        <v>14</v>
      </c>
      <c r="C53" s="2" t="s">
        <v>9</v>
      </c>
      <c r="D53" s="3" t="s">
        <v>25</v>
      </c>
      <c r="E53" s="3">
        <v>60000</v>
      </c>
      <c r="F53" s="3">
        <v>60000</v>
      </c>
      <c r="G53" s="3">
        <f t="shared" si="1"/>
        <v>0</v>
      </c>
    </row>
    <row r="54" spans="1:7" x14ac:dyDescent="0.25">
      <c r="A54" s="1" t="s">
        <v>15</v>
      </c>
      <c r="B54" s="2" t="s">
        <v>14</v>
      </c>
      <c r="C54" s="2" t="s">
        <v>9</v>
      </c>
      <c r="D54" s="3" t="s">
        <v>22</v>
      </c>
      <c r="E54" s="3">
        <v>150000</v>
      </c>
      <c r="F54" s="6">
        <v>150000</v>
      </c>
      <c r="G54" s="8">
        <f t="shared" si="1"/>
        <v>0</v>
      </c>
    </row>
    <row r="55" spans="1:7" x14ac:dyDescent="0.25">
      <c r="A55" s="1" t="s">
        <v>15</v>
      </c>
      <c r="B55" s="2" t="s">
        <v>4</v>
      </c>
      <c r="C55" s="2" t="s">
        <v>7</v>
      </c>
      <c r="D55" s="3" t="s">
        <v>22</v>
      </c>
      <c r="E55" s="3">
        <v>100000</v>
      </c>
      <c r="F55" s="6">
        <v>100000</v>
      </c>
      <c r="G55" s="8">
        <f t="shared" si="1"/>
        <v>0</v>
      </c>
    </row>
    <row r="56" spans="1:7" x14ac:dyDescent="0.25">
      <c r="A56" s="1" t="s">
        <v>15</v>
      </c>
      <c r="B56" s="2" t="s">
        <v>12</v>
      </c>
      <c r="C56" s="2" t="s">
        <v>5</v>
      </c>
      <c r="D56" s="3" t="s">
        <v>22</v>
      </c>
      <c r="E56" s="6">
        <v>220000</v>
      </c>
      <c r="F56" s="6">
        <v>200000</v>
      </c>
      <c r="G56" s="8">
        <f t="shared" si="1"/>
        <v>-20000</v>
      </c>
    </row>
    <row r="57" spans="1:7" x14ac:dyDescent="0.25">
      <c r="A57" s="1" t="s">
        <v>15</v>
      </c>
      <c r="B57" s="2" t="s">
        <v>10</v>
      </c>
      <c r="C57" s="2" t="s">
        <v>5</v>
      </c>
      <c r="D57" s="3" t="s">
        <v>22</v>
      </c>
      <c r="E57" s="3">
        <v>60000</v>
      </c>
      <c r="F57" s="6">
        <v>50000</v>
      </c>
      <c r="G57" s="8">
        <f t="shared" si="1"/>
        <v>-10000</v>
      </c>
    </row>
    <row r="58" spans="1:7" x14ac:dyDescent="0.25">
      <c r="A58" s="1" t="s">
        <v>15</v>
      </c>
      <c r="B58" s="2" t="s">
        <v>8</v>
      </c>
      <c r="C58" s="2" t="s">
        <v>7</v>
      </c>
      <c r="D58" s="3" t="s">
        <v>22</v>
      </c>
      <c r="E58" s="3">
        <v>55000</v>
      </c>
      <c r="F58" s="6">
        <v>54000</v>
      </c>
      <c r="G58" s="8">
        <f t="shared" si="1"/>
        <v>-1000</v>
      </c>
    </row>
    <row r="59" spans="1:7" x14ac:dyDescent="0.25">
      <c r="A59" s="1" t="s">
        <v>15</v>
      </c>
      <c r="B59" s="2" t="s">
        <v>13</v>
      </c>
      <c r="C59" s="2" t="s">
        <v>11</v>
      </c>
      <c r="D59" s="3" t="s">
        <v>22</v>
      </c>
      <c r="E59" s="3">
        <v>80000</v>
      </c>
      <c r="F59" s="6">
        <v>85000</v>
      </c>
      <c r="G59" s="8">
        <f t="shared" si="1"/>
        <v>5000</v>
      </c>
    </row>
    <row r="60" spans="1:7" x14ac:dyDescent="0.25">
      <c r="A60" s="1" t="s">
        <v>15</v>
      </c>
      <c r="B60" s="2" t="s">
        <v>13</v>
      </c>
      <c r="C60" s="2" t="s">
        <v>11</v>
      </c>
      <c r="D60" s="3" t="s">
        <v>25</v>
      </c>
      <c r="E60" s="3">
        <v>30000</v>
      </c>
      <c r="F60" s="6">
        <v>35000</v>
      </c>
      <c r="G60" s="3">
        <f t="shared" si="1"/>
        <v>5000</v>
      </c>
    </row>
    <row r="61" spans="1:7" x14ac:dyDescent="0.25">
      <c r="A61" s="1" t="s">
        <v>15</v>
      </c>
      <c r="B61" s="2" t="s">
        <v>13</v>
      </c>
      <c r="C61" s="2" t="s">
        <v>5</v>
      </c>
      <c r="D61" s="3" t="s">
        <v>22</v>
      </c>
      <c r="E61" s="3">
        <v>80000</v>
      </c>
      <c r="F61" s="6">
        <v>80000</v>
      </c>
      <c r="G61" s="8">
        <f t="shared" si="1"/>
        <v>0</v>
      </c>
    </row>
    <row r="62" spans="1:7" x14ac:dyDescent="0.25">
      <c r="A62" s="1" t="s">
        <v>15</v>
      </c>
      <c r="B62" s="2" t="s">
        <v>10</v>
      </c>
      <c r="C62" s="2" t="s">
        <v>11</v>
      </c>
      <c r="D62" s="3" t="s">
        <v>22</v>
      </c>
      <c r="E62" s="3">
        <v>55000</v>
      </c>
      <c r="F62" s="6">
        <v>60000</v>
      </c>
      <c r="G62" s="8">
        <f t="shared" si="1"/>
        <v>5000</v>
      </c>
    </row>
    <row r="63" spans="1:7" x14ac:dyDescent="0.25">
      <c r="A63" s="1" t="s">
        <v>15</v>
      </c>
      <c r="B63" s="2" t="s">
        <v>13</v>
      </c>
      <c r="C63" s="2" t="s">
        <v>7</v>
      </c>
      <c r="D63" s="3" t="s">
        <v>22</v>
      </c>
      <c r="E63" s="3">
        <v>80000</v>
      </c>
      <c r="F63" s="6">
        <v>90000</v>
      </c>
      <c r="G63" s="8">
        <f t="shared" si="1"/>
        <v>10000</v>
      </c>
    </row>
    <row r="64" spans="1:7" x14ac:dyDescent="0.25">
      <c r="A64" s="1" t="s">
        <v>15</v>
      </c>
      <c r="B64" s="2" t="s">
        <v>6</v>
      </c>
      <c r="C64" s="2" t="s">
        <v>7</v>
      </c>
      <c r="D64" s="3" t="s">
        <v>22</v>
      </c>
      <c r="E64" s="3">
        <v>250000</v>
      </c>
      <c r="F64" s="6">
        <v>275000</v>
      </c>
      <c r="G64" s="8">
        <f t="shared" si="1"/>
        <v>25000</v>
      </c>
    </row>
    <row r="65" spans="1:7" x14ac:dyDescent="0.25">
      <c r="A65" s="1" t="s">
        <v>15</v>
      </c>
      <c r="B65" s="2" t="s">
        <v>6</v>
      </c>
      <c r="C65" s="2" t="s">
        <v>5</v>
      </c>
      <c r="D65" s="3" t="s">
        <v>22</v>
      </c>
      <c r="E65" s="6">
        <v>250000</v>
      </c>
      <c r="F65" s="6">
        <v>240000</v>
      </c>
      <c r="G65" s="8">
        <f t="shared" si="1"/>
        <v>-10000</v>
      </c>
    </row>
    <row r="66" spans="1:7" x14ac:dyDescent="0.25">
      <c r="A66" s="1" t="s">
        <v>16</v>
      </c>
      <c r="B66" s="2" t="s">
        <v>4</v>
      </c>
      <c r="C66" s="2" t="s">
        <v>7</v>
      </c>
      <c r="D66" s="3" t="s">
        <v>22</v>
      </c>
      <c r="E66" s="6">
        <v>150000</v>
      </c>
      <c r="F66" s="6">
        <v>130000</v>
      </c>
      <c r="G66" s="8">
        <f t="shared" ref="G66:G97" si="2">F66-E66</f>
        <v>-20000</v>
      </c>
    </row>
    <row r="67" spans="1:7" x14ac:dyDescent="0.25">
      <c r="A67" s="1" t="s">
        <v>16</v>
      </c>
      <c r="B67" s="2" t="s">
        <v>12</v>
      </c>
      <c r="C67" s="2" t="s">
        <v>11</v>
      </c>
      <c r="D67" s="3" t="s">
        <v>22</v>
      </c>
      <c r="E67" s="3">
        <v>240000</v>
      </c>
      <c r="F67" s="6">
        <v>230000</v>
      </c>
      <c r="G67" s="3">
        <f t="shared" si="2"/>
        <v>-10000</v>
      </c>
    </row>
    <row r="68" spans="1:7" x14ac:dyDescent="0.25">
      <c r="A68" s="1" t="s">
        <v>16</v>
      </c>
      <c r="B68" s="2" t="s">
        <v>12</v>
      </c>
      <c r="C68" s="2" t="s">
        <v>7</v>
      </c>
      <c r="D68" s="3" t="s">
        <v>22</v>
      </c>
      <c r="E68" s="3">
        <v>240000</v>
      </c>
      <c r="F68" s="6">
        <v>240000</v>
      </c>
      <c r="G68" s="3">
        <f t="shared" si="2"/>
        <v>0</v>
      </c>
    </row>
    <row r="69" spans="1:7" x14ac:dyDescent="0.25">
      <c r="A69" s="1" t="s">
        <v>16</v>
      </c>
      <c r="B69" s="2" t="s">
        <v>6</v>
      </c>
      <c r="C69" s="2" t="s">
        <v>5</v>
      </c>
      <c r="D69" s="3" t="s">
        <v>22</v>
      </c>
      <c r="E69" s="3">
        <v>250000</v>
      </c>
      <c r="F69" s="6">
        <v>260000</v>
      </c>
      <c r="G69" s="8">
        <f t="shared" si="2"/>
        <v>10000</v>
      </c>
    </row>
    <row r="70" spans="1:7" x14ac:dyDescent="0.25">
      <c r="A70" s="1" t="s">
        <v>16</v>
      </c>
      <c r="B70" s="2" t="s">
        <v>10</v>
      </c>
      <c r="C70" s="2" t="s">
        <v>5</v>
      </c>
      <c r="D70" s="3" t="s">
        <v>22</v>
      </c>
      <c r="E70" s="3">
        <v>70000</v>
      </c>
      <c r="F70" s="6">
        <v>60000</v>
      </c>
      <c r="G70" s="8">
        <f t="shared" si="2"/>
        <v>-10000</v>
      </c>
    </row>
    <row r="71" spans="1:7" x14ac:dyDescent="0.25">
      <c r="A71" s="1" t="s">
        <v>16</v>
      </c>
      <c r="B71" s="2" t="s">
        <v>6</v>
      </c>
      <c r="C71" s="2" t="s">
        <v>7</v>
      </c>
      <c r="D71" s="3" t="s">
        <v>22</v>
      </c>
      <c r="E71" s="3">
        <v>250000</v>
      </c>
      <c r="F71" s="6">
        <v>280000</v>
      </c>
      <c r="G71" s="8">
        <f t="shared" si="2"/>
        <v>30000</v>
      </c>
    </row>
    <row r="72" spans="1:7" x14ac:dyDescent="0.25">
      <c r="A72" s="1" t="s">
        <v>16</v>
      </c>
      <c r="B72" s="2" t="s">
        <v>4</v>
      </c>
      <c r="C72" s="2" t="s">
        <v>9</v>
      </c>
      <c r="D72" s="3" t="s">
        <v>22</v>
      </c>
      <c r="E72" s="3">
        <v>150000</v>
      </c>
      <c r="F72" s="6">
        <v>140000</v>
      </c>
      <c r="G72" s="8">
        <f t="shared" si="2"/>
        <v>-10000</v>
      </c>
    </row>
    <row r="73" spans="1:7" x14ac:dyDescent="0.25">
      <c r="A73" s="1" t="s">
        <v>16</v>
      </c>
      <c r="B73" s="2" t="s">
        <v>4</v>
      </c>
      <c r="C73" s="2" t="s">
        <v>11</v>
      </c>
      <c r="D73" s="3" t="s">
        <v>22</v>
      </c>
      <c r="E73" s="3">
        <v>150000</v>
      </c>
      <c r="F73" s="6">
        <v>155000</v>
      </c>
      <c r="G73" s="8">
        <f t="shared" si="2"/>
        <v>5000</v>
      </c>
    </row>
    <row r="74" spans="1:7" x14ac:dyDescent="0.25">
      <c r="A74" s="1" t="s">
        <v>16</v>
      </c>
      <c r="B74" s="2" t="s">
        <v>6</v>
      </c>
      <c r="C74" s="2" t="s">
        <v>7</v>
      </c>
      <c r="D74" s="3" t="s">
        <v>25</v>
      </c>
      <c r="E74" s="3">
        <v>100000</v>
      </c>
      <c r="F74" s="6">
        <v>125000</v>
      </c>
      <c r="G74" s="3">
        <f t="shared" si="2"/>
        <v>25000</v>
      </c>
    </row>
    <row r="75" spans="1:7" x14ac:dyDescent="0.25">
      <c r="A75" s="1" t="s">
        <v>16</v>
      </c>
      <c r="B75" s="2" t="s">
        <v>6</v>
      </c>
      <c r="C75" s="2" t="s">
        <v>11</v>
      </c>
      <c r="D75" s="3" t="s">
        <v>22</v>
      </c>
      <c r="E75" s="3">
        <v>250000</v>
      </c>
      <c r="F75" s="6">
        <v>280000</v>
      </c>
      <c r="G75" s="8">
        <f t="shared" si="2"/>
        <v>30000</v>
      </c>
    </row>
    <row r="76" spans="1:7" x14ac:dyDescent="0.25">
      <c r="A76" s="1" t="s">
        <v>16</v>
      </c>
      <c r="B76" s="2" t="s">
        <v>10</v>
      </c>
      <c r="C76" s="2" t="s">
        <v>11</v>
      </c>
      <c r="D76" s="3" t="s">
        <v>22</v>
      </c>
      <c r="E76" s="3">
        <v>60000</v>
      </c>
      <c r="F76" s="6">
        <v>60000</v>
      </c>
      <c r="G76" s="8">
        <f t="shared" si="2"/>
        <v>0</v>
      </c>
    </row>
    <row r="77" spans="1:7" x14ac:dyDescent="0.25">
      <c r="A77" s="1" t="s">
        <v>16</v>
      </c>
      <c r="B77" s="2" t="s">
        <v>8</v>
      </c>
      <c r="C77" s="2" t="s">
        <v>7</v>
      </c>
      <c r="D77" s="3" t="s">
        <v>22</v>
      </c>
      <c r="E77" s="3">
        <v>60000</v>
      </c>
      <c r="F77" s="6">
        <v>65000</v>
      </c>
      <c r="G77" s="8">
        <f t="shared" si="2"/>
        <v>5000</v>
      </c>
    </row>
    <row r="78" spans="1:7" x14ac:dyDescent="0.25">
      <c r="A78" s="1" t="s">
        <v>16</v>
      </c>
      <c r="B78" s="2" t="s">
        <v>10</v>
      </c>
      <c r="C78" s="2" t="s">
        <v>9</v>
      </c>
      <c r="D78" s="3" t="s">
        <v>22</v>
      </c>
      <c r="E78" s="3">
        <v>70000</v>
      </c>
      <c r="F78" s="6">
        <v>75000</v>
      </c>
      <c r="G78" s="8">
        <f t="shared" si="2"/>
        <v>5000</v>
      </c>
    </row>
    <row r="79" spans="1:7" x14ac:dyDescent="0.25">
      <c r="A79" s="1" t="s">
        <v>16</v>
      </c>
      <c r="B79" s="2" t="s">
        <v>13</v>
      </c>
      <c r="C79" s="2" t="s">
        <v>7</v>
      </c>
      <c r="D79" s="3" t="s">
        <v>22</v>
      </c>
      <c r="E79" s="3">
        <v>90000</v>
      </c>
      <c r="F79" s="6">
        <v>100000</v>
      </c>
      <c r="G79" s="8">
        <f t="shared" si="2"/>
        <v>10000</v>
      </c>
    </row>
    <row r="80" spans="1:7" x14ac:dyDescent="0.25">
      <c r="A80" s="1" t="s">
        <v>16</v>
      </c>
      <c r="B80" s="2" t="s">
        <v>12</v>
      </c>
      <c r="C80" s="2" t="s">
        <v>9</v>
      </c>
      <c r="D80" s="3" t="s">
        <v>22</v>
      </c>
      <c r="E80" s="6">
        <v>240000</v>
      </c>
      <c r="F80" s="6">
        <v>250000</v>
      </c>
      <c r="G80" s="8">
        <f t="shared" si="2"/>
        <v>10000</v>
      </c>
    </row>
    <row r="81" spans="1:7" x14ac:dyDescent="0.25">
      <c r="A81" s="1" t="s">
        <v>16</v>
      </c>
      <c r="B81" s="2" t="s">
        <v>10</v>
      </c>
      <c r="C81" s="2" t="s">
        <v>7</v>
      </c>
      <c r="D81" s="3" t="s">
        <v>22</v>
      </c>
      <c r="E81" s="3">
        <v>70000</v>
      </c>
      <c r="F81" s="6">
        <v>65000</v>
      </c>
      <c r="G81" s="8">
        <f t="shared" si="2"/>
        <v>-5000</v>
      </c>
    </row>
    <row r="82" spans="1:7" x14ac:dyDescent="0.25">
      <c r="A82" s="1" t="s">
        <v>16</v>
      </c>
      <c r="B82" s="2" t="s">
        <v>6</v>
      </c>
      <c r="C82" s="2" t="s">
        <v>9</v>
      </c>
      <c r="D82" s="3" t="s">
        <v>22</v>
      </c>
      <c r="E82" s="3">
        <v>250000</v>
      </c>
      <c r="F82" s="6">
        <v>250000</v>
      </c>
      <c r="G82" s="8">
        <f t="shared" si="2"/>
        <v>0</v>
      </c>
    </row>
    <row r="83" spans="1:7" x14ac:dyDescent="0.25">
      <c r="A83" s="1" t="s">
        <v>16</v>
      </c>
      <c r="B83" s="2" t="s">
        <v>13</v>
      </c>
      <c r="C83" s="2" t="s">
        <v>11</v>
      </c>
      <c r="D83" s="3" t="s">
        <v>22</v>
      </c>
      <c r="E83" s="3">
        <v>90000</v>
      </c>
      <c r="F83" s="6">
        <v>100000</v>
      </c>
      <c r="G83" s="8">
        <f t="shared" si="2"/>
        <v>10000</v>
      </c>
    </row>
    <row r="84" spans="1:7" x14ac:dyDescent="0.25">
      <c r="A84" s="1" t="s">
        <v>16</v>
      </c>
      <c r="B84" s="2" t="s">
        <v>12</v>
      </c>
      <c r="C84" s="2" t="s">
        <v>5</v>
      </c>
      <c r="D84" s="3" t="s">
        <v>22</v>
      </c>
      <c r="E84" s="6">
        <v>240000</v>
      </c>
      <c r="F84" s="6">
        <v>250000</v>
      </c>
      <c r="G84" s="8">
        <f t="shared" si="2"/>
        <v>10000</v>
      </c>
    </row>
    <row r="85" spans="1:7" x14ac:dyDescent="0.25">
      <c r="A85" s="1" t="s">
        <v>16</v>
      </c>
      <c r="B85" s="2" t="s">
        <v>8</v>
      </c>
      <c r="C85" s="2" t="s">
        <v>11</v>
      </c>
      <c r="D85" s="3" t="s">
        <v>22</v>
      </c>
      <c r="E85" s="3">
        <v>60000</v>
      </c>
      <c r="F85" s="6">
        <v>70000</v>
      </c>
      <c r="G85" s="8">
        <f t="shared" si="2"/>
        <v>10000</v>
      </c>
    </row>
    <row r="86" spans="1:7" x14ac:dyDescent="0.25">
      <c r="A86" s="1" t="s">
        <v>16</v>
      </c>
      <c r="B86" s="2" t="s">
        <v>8</v>
      </c>
      <c r="C86" s="2" t="s">
        <v>9</v>
      </c>
      <c r="D86" s="3" t="s">
        <v>22</v>
      </c>
      <c r="E86" s="3">
        <v>60000</v>
      </c>
      <c r="F86" s="6">
        <v>62000</v>
      </c>
      <c r="G86" s="8">
        <f t="shared" si="2"/>
        <v>2000</v>
      </c>
    </row>
    <row r="87" spans="1:7" x14ac:dyDescent="0.25">
      <c r="A87" s="1" t="s">
        <v>16</v>
      </c>
      <c r="B87" s="2" t="s">
        <v>14</v>
      </c>
      <c r="C87" s="2" t="s">
        <v>7</v>
      </c>
      <c r="D87" s="3" t="s">
        <v>22</v>
      </c>
      <c r="E87" s="3">
        <v>175000</v>
      </c>
      <c r="F87" s="6">
        <v>180000</v>
      </c>
      <c r="G87" s="8">
        <f t="shared" si="2"/>
        <v>5000</v>
      </c>
    </row>
    <row r="88" spans="1:7" x14ac:dyDescent="0.25">
      <c r="A88" s="1" t="s">
        <v>16</v>
      </c>
      <c r="B88" s="2" t="s">
        <v>13</v>
      </c>
      <c r="C88" s="2" t="s">
        <v>11</v>
      </c>
      <c r="D88" s="3" t="s">
        <v>22</v>
      </c>
      <c r="E88" s="3">
        <v>90000</v>
      </c>
      <c r="F88" s="6">
        <v>90000</v>
      </c>
      <c r="G88" s="8">
        <f t="shared" si="2"/>
        <v>0</v>
      </c>
    </row>
    <row r="89" spans="1:7" x14ac:dyDescent="0.25">
      <c r="A89" s="1" t="s">
        <v>16</v>
      </c>
      <c r="B89" s="2" t="s">
        <v>13</v>
      </c>
      <c r="C89" s="2" t="s">
        <v>11</v>
      </c>
      <c r="D89" s="3" t="s">
        <v>25</v>
      </c>
      <c r="E89" s="3">
        <v>50000</v>
      </c>
      <c r="F89" s="6">
        <v>50000</v>
      </c>
      <c r="G89" s="3">
        <f t="shared" si="2"/>
        <v>0</v>
      </c>
    </row>
    <row r="90" spans="1:7" x14ac:dyDescent="0.25">
      <c r="A90" s="1" t="s">
        <v>16</v>
      </c>
      <c r="B90" s="2" t="s">
        <v>13</v>
      </c>
      <c r="C90" s="2" t="s">
        <v>9</v>
      </c>
      <c r="D90" s="3" t="s">
        <v>22</v>
      </c>
      <c r="E90" s="3">
        <v>90000</v>
      </c>
      <c r="F90" s="6">
        <v>85000</v>
      </c>
      <c r="G90" s="8">
        <f t="shared" si="2"/>
        <v>-5000</v>
      </c>
    </row>
    <row r="91" spans="1:7" x14ac:dyDescent="0.25">
      <c r="A91" s="1" t="s">
        <v>16</v>
      </c>
      <c r="B91" s="2" t="s">
        <v>8</v>
      </c>
      <c r="C91" s="2" t="s">
        <v>5</v>
      </c>
      <c r="D91" s="3" t="s">
        <v>22</v>
      </c>
      <c r="E91" s="3">
        <v>60000</v>
      </c>
      <c r="F91" s="6">
        <v>60000</v>
      </c>
      <c r="G91" s="8">
        <f t="shared" si="2"/>
        <v>0</v>
      </c>
    </row>
    <row r="92" spans="1:7" x14ac:dyDescent="0.25">
      <c r="A92" s="1" t="s">
        <v>16</v>
      </c>
      <c r="B92" s="2" t="s">
        <v>4</v>
      </c>
      <c r="C92" s="2" t="s">
        <v>5</v>
      </c>
      <c r="D92" s="3" t="s">
        <v>22</v>
      </c>
      <c r="E92" s="3">
        <v>150000</v>
      </c>
      <c r="F92" s="6">
        <v>150000</v>
      </c>
      <c r="G92" s="8">
        <f t="shared" si="2"/>
        <v>0</v>
      </c>
    </row>
    <row r="93" spans="1:7" x14ac:dyDescent="0.25">
      <c r="A93" s="1" t="s">
        <v>16</v>
      </c>
      <c r="B93" s="2" t="s">
        <v>14</v>
      </c>
      <c r="C93" s="2" t="s">
        <v>5</v>
      </c>
      <c r="D93" s="3" t="s">
        <v>22</v>
      </c>
      <c r="E93" s="3">
        <v>175000</v>
      </c>
      <c r="F93" s="6">
        <v>180000</v>
      </c>
      <c r="G93" s="8">
        <f t="shared" si="2"/>
        <v>5000</v>
      </c>
    </row>
    <row r="94" spans="1:7" x14ac:dyDescent="0.25">
      <c r="A94" s="1" t="s">
        <v>16</v>
      </c>
      <c r="B94" s="2" t="s">
        <v>14</v>
      </c>
      <c r="C94" s="2" t="s">
        <v>11</v>
      </c>
      <c r="D94" s="3" t="s">
        <v>22</v>
      </c>
      <c r="E94" s="3">
        <v>175000</v>
      </c>
      <c r="F94" s="6">
        <v>160000</v>
      </c>
      <c r="G94" s="8">
        <f t="shared" si="2"/>
        <v>-15000</v>
      </c>
    </row>
    <row r="95" spans="1:7" x14ac:dyDescent="0.25">
      <c r="A95" s="1" t="s">
        <v>16</v>
      </c>
      <c r="B95" s="2" t="s">
        <v>14</v>
      </c>
      <c r="C95" s="2" t="s">
        <v>11</v>
      </c>
      <c r="D95" s="3" t="s">
        <v>25</v>
      </c>
      <c r="E95" s="3">
        <v>80000</v>
      </c>
      <c r="F95" s="6">
        <v>70000</v>
      </c>
      <c r="G95" s="3">
        <f t="shared" si="2"/>
        <v>-10000</v>
      </c>
    </row>
    <row r="96" spans="1:7" x14ac:dyDescent="0.25">
      <c r="A96" s="1" t="s">
        <v>16</v>
      </c>
      <c r="B96" s="2" t="s">
        <v>14</v>
      </c>
      <c r="C96" s="2" t="s">
        <v>9</v>
      </c>
      <c r="D96" s="3" t="s">
        <v>22</v>
      </c>
      <c r="E96" s="3">
        <v>175000</v>
      </c>
      <c r="F96" s="6">
        <v>175000</v>
      </c>
      <c r="G96" s="8">
        <f t="shared" si="2"/>
        <v>0</v>
      </c>
    </row>
    <row r="97" spans="1:7" x14ac:dyDescent="0.25">
      <c r="A97" s="1" t="s">
        <v>17</v>
      </c>
      <c r="B97" s="2" t="s">
        <v>6</v>
      </c>
      <c r="C97" s="2" t="s">
        <v>7</v>
      </c>
      <c r="D97" s="3" t="s">
        <v>22</v>
      </c>
      <c r="E97" s="3">
        <v>300000</v>
      </c>
      <c r="F97" s="6">
        <v>280000</v>
      </c>
      <c r="G97" s="8">
        <f t="shared" si="2"/>
        <v>-20000</v>
      </c>
    </row>
    <row r="98" spans="1:7" x14ac:dyDescent="0.25">
      <c r="A98" s="1" t="s">
        <v>17</v>
      </c>
      <c r="B98" s="2" t="s">
        <v>6</v>
      </c>
      <c r="C98" s="2" t="s">
        <v>5</v>
      </c>
      <c r="D98" s="3" t="s">
        <v>22</v>
      </c>
      <c r="E98" s="3">
        <v>300000</v>
      </c>
      <c r="F98" s="6">
        <v>300000</v>
      </c>
      <c r="G98" s="8">
        <f t="shared" ref="G98:G126" si="3">F98-E98</f>
        <v>0</v>
      </c>
    </row>
    <row r="99" spans="1:7" x14ac:dyDescent="0.25">
      <c r="A99" s="1" t="s">
        <v>17</v>
      </c>
      <c r="B99" s="2" t="s">
        <v>6</v>
      </c>
      <c r="C99" s="2" t="s">
        <v>5</v>
      </c>
      <c r="D99" s="3" t="s">
        <v>22</v>
      </c>
      <c r="E99" s="3">
        <v>300000</v>
      </c>
      <c r="F99" s="6">
        <v>2750000</v>
      </c>
      <c r="G99" s="8">
        <f t="shared" si="3"/>
        <v>2450000</v>
      </c>
    </row>
    <row r="100" spans="1:7" x14ac:dyDescent="0.25">
      <c r="A100" s="1" t="s">
        <v>17</v>
      </c>
      <c r="B100" s="2" t="s">
        <v>12</v>
      </c>
      <c r="C100" s="2" t="s">
        <v>11</v>
      </c>
      <c r="D100" s="3" t="s">
        <v>22</v>
      </c>
      <c r="E100" s="3">
        <v>250000</v>
      </c>
      <c r="F100" s="6">
        <v>250000</v>
      </c>
      <c r="G100" s="8">
        <f t="shared" si="3"/>
        <v>0</v>
      </c>
    </row>
    <row r="101" spans="1:7" x14ac:dyDescent="0.25">
      <c r="A101" s="1" t="s">
        <v>17</v>
      </c>
      <c r="B101" s="2" t="s">
        <v>12</v>
      </c>
      <c r="C101" s="2" t="s">
        <v>7</v>
      </c>
      <c r="D101" s="3" t="s">
        <v>22</v>
      </c>
      <c r="E101" s="3">
        <v>250000</v>
      </c>
      <c r="F101" s="6">
        <v>260000</v>
      </c>
      <c r="G101" s="8">
        <f t="shared" si="3"/>
        <v>10000</v>
      </c>
    </row>
    <row r="102" spans="1:7" x14ac:dyDescent="0.25">
      <c r="A102" s="1" t="s">
        <v>17</v>
      </c>
      <c r="B102" s="2" t="s">
        <v>4</v>
      </c>
      <c r="C102" s="2" t="s">
        <v>9</v>
      </c>
      <c r="D102" s="3" t="s">
        <v>22</v>
      </c>
      <c r="E102" s="3">
        <v>200000</v>
      </c>
      <c r="F102" s="6">
        <v>170000</v>
      </c>
      <c r="G102" s="8">
        <f t="shared" si="3"/>
        <v>-30000</v>
      </c>
    </row>
    <row r="103" spans="1:7" x14ac:dyDescent="0.25">
      <c r="A103" s="1" t="s">
        <v>17</v>
      </c>
      <c r="B103" s="2" t="s">
        <v>4</v>
      </c>
      <c r="C103" s="2" t="s">
        <v>5</v>
      </c>
      <c r="D103" s="3" t="s">
        <v>22</v>
      </c>
      <c r="E103" s="3">
        <v>200000</v>
      </c>
      <c r="F103" s="6">
        <v>190000</v>
      </c>
      <c r="G103" s="8">
        <f t="shared" si="3"/>
        <v>-10000</v>
      </c>
    </row>
    <row r="104" spans="1:7" x14ac:dyDescent="0.25">
      <c r="A104" s="1" t="s">
        <v>17</v>
      </c>
      <c r="B104" s="2" t="s">
        <v>13</v>
      </c>
      <c r="C104" s="2" t="s">
        <v>9</v>
      </c>
      <c r="D104" s="3" t="s">
        <v>22</v>
      </c>
      <c r="E104" s="3">
        <v>90000</v>
      </c>
      <c r="F104" s="6">
        <v>95000</v>
      </c>
      <c r="G104" s="3">
        <f t="shared" si="3"/>
        <v>5000</v>
      </c>
    </row>
    <row r="105" spans="1:7" x14ac:dyDescent="0.25">
      <c r="A105" s="1" t="s">
        <v>17</v>
      </c>
      <c r="B105" s="2" t="s">
        <v>8</v>
      </c>
      <c r="C105" s="2" t="s">
        <v>9</v>
      </c>
      <c r="D105" s="3" t="s">
        <v>22</v>
      </c>
      <c r="E105" s="3">
        <v>70000</v>
      </c>
      <c r="F105" s="6">
        <v>65000</v>
      </c>
      <c r="G105" s="3">
        <f t="shared" si="3"/>
        <v>-5000</v>
      </c>
    </row>
    <row r="106" spans="1:7" x14ac:dyDescent="0.25">
      <c r="A106" s="1" t="s">
        <v>17</v>
      </c>
      <c r="B106" s="2" t="s">
        <v>10</v>
      </c>
      <c r="C106" s="2" t="s">
        <v>9</v>
      </c>
      <c r="D106" s="3" t="s">
        <v>22</v>
      </c>
      <c r="E106" s="3">
        <v>70000</v>
      </c>
      <c r="F106" s="6">
        <v>75000</v>
      </c>
      <c r="G106" s="3">
        <f t="shared" si="3"/>
        <v>5000</v>
      </c>
    </row>
    <row r="107" spans="1:7" x14ac:dyDescent="0.25">
      <c r="A107" s="1" t="s">
        <v>17</v>
      </c>
      <c r="B107" s="2" t="s">
        <v>8</v>
      </c>
      <c r="C107" s="2" t="s">
        <v>5</v>
      </c>
      <c r="D107" s="3" t="s">
        <v>22</v>
      </c>
      <c r="E107" s="3">
        <v>70000</v>
      </c>
      <c r="F107" s="6">
        <v>70000</v>
      </c>
      <c r="G107" s="8">
        <f t="shared" si="3"/>
        <v>0</v>
      </c>
    </row>
    <row r="108" spans="1:7" x14ac:dyDescent="0.25">
      <c r="A108" s="1" t="s">
        <v>17</v>
      </c>
      <c r="B108" s="2" t="s">
        <v>14</v>
      </c>
      <c r="C108" s="2" t="s">
        <v>11</v>
      </c>
      <c r="D108" s="3" t="s">
        <v>22</v>
      </c>
      <c r="E108" s="3">
        <v>200000</v>
      </c>
      <c r="F108" s="3">
        <v>200000</v>
      </c>
      <c r="G108" s="8">
        <f t="shared" si="3"/>
        <v>0</v>
      </c>
    </row>
    <row r="109" spans="1:7" x14ac:dyDescent="0.25">
      <c r="A109" s="1" t="s">
        <v>17</v>
      </c>
      <c r="B109" s="2" t="s">
        <v>13</v>
      </c>
      <c r="C109" s="2" t="s">
        <v>11</v>
      </c>
      <c r="D109" s="3" t="s">
        <v>22</v>
      </c>
      <c r="E109" s="3">
        <v>90000</v>
      </c>
      <c r="F109" s="6">
        <v>100000</v>
      </c>
      <c r="G109" s="8">
        <f t="shared" si="3"/>
        <v>10000</v>
      </c>
    </row>
    <row r="110" spans="1:7" x14ac:dyDescent="0.25">
      <c r="A110" s="1" t="s">
        <v>17</v>
      </c>
      <c r="B110" s="2" t="s">
        <v>10</v>
      </c>
      <c r="C110" s="2" t="s">
        <v>11</v>
      </c>
      <c r="D110" s="3" t="s">
        <v>22</v>
      </c>
      <c r="E110" s="3">
        <v>60000</v>
      </c>
      <c r="F110" s="6">
        <v>80000</v>
      </c>
      <c r="G110" s="8">
        <f t="shared" si="3"/>
        <v>20000</v>
      </c>
    </row>
    <row r="111" spans="1:7" x14ac:dyDescent="0.25">
      <c r="A111" s="1" t="s">
        <v>17</v>
      </c>
      <c r="B111" s="2" t="s">
        <v>4</v>
      </c>
      <c r="C111" s="2" t="s">
        <v>7</v>
      </c>
      <c r="D111" s="3" t="s">
        <v>22</v>
      </c>
      <c r="E111" s="3">
        <v>200000</v>
      </c>
      <c r="F111" s="6">
        <v>230000</v>
      </c>
      <c r="G111" s="8">
        <f t="shared" si="3"/>
        <v>30000</v>
      </c>
    </row>
    <row r="112" spans="1:7" x14ac:dyDescent="0.25">
      <c r="A112" s="1" t="s">
        <v>17</v>
      </c>
      <c r="B112" s="2" t="s">
        <v>6</v>
      </c>
      <c r="C112" s="2" t="s">
        <v>11</v>
      </c>
      <c r="D112" s="3" t="s">
        <v>22</v>
      </c>
      <c r="E112" s="3">
        <v>300000</v>
      </c>
      <c r="F112" s="6">
        <v>300000</v>
      </c>
      <c r="G112" s="8">
        <f t="shared" si="3"/>
        <v>0</v>
      </c>
    </row>
    <row r="113" spans="1:7" x14ac:dyDescent="0.25">
      <c r="A113" s="1" t="s">
        <v>17</v>
      </c>
      <c r="B113" s="2" t="s">
        <v>4</v>
      </c>
      <c r="C113" s="2" t="s">
        <v>9</v>
      </c>
      <c r="D113" s="3" t="s">
        <v>22</v>
      </c>
      <c r="E113" s="3">
        <v>200000</v>
      </c>
      <c r="F113" s="6">
        <v>210000</v>
      </c>
      <c r="G113" s="8">
        <f t="shared" si="3"/>
        <v>10000</v>
      </c>
    </row>
    <row r="114" spans="1:7" x14ac:dyDescent="0.25">
      <c r="A114" s="1" t="s">
        <v>17</v>
      </c>
      <c r="B114" s="2" t="s">
        <v>14</v>
      </c>
      <c r="C114" s="2" t="s">
        <v>7</v>
      </c>
      <c r="D114" s="3" t="s">
        <v>22</v>
      </c>
      <c r="E114" s="3">
        <v>200000</v>
      </c>
      <c r="F114" s="6">
        <v>175000</v>
      </c>
      <c r="G114" s="8">
        <f t="shared" si="3"/>
        <v>-25000</v>
      </c>
    </row>
    <row r="115" spans="1:7" x14ac:dyDescent="0.25">
      <c r="A115" s="1" t="s">
        <v>17</v>
      </c>
      <c r="B115" s="2" t="s">
        <v>13</v>
      </c>
      <c r="C115" s="2" t="s">
        <v>5</v>
      </c>
      <c r="D115" s="3" t="s">
        <v>22</v>
      </c>
      <c r="E115" s="3">
        <v>90000</v>
      </c>
      <c r="F115" s="6">
        <v>100000</v>
      </c>
      <c r="G115" s="8">
        <f t="shared" si="3"/>
        <v>10000</v>
      </c>
    </row>
    <row r="116" spans="1:7" x14ac:dyDescent="0.25">
      <c r="A116" s="1" t="s">
        <v>17</v>
      </c>
      <c r="B116" s="2" t="s">
        <v>8</v>
      </c>
      <c r="C116" s="2" t="s">
        <v>11</v>
      </c>
      <c r="D116" s="3" t="s">
        <v>22</v>
      </c>
      <c r="E116" s="3">
        <v>70000</v>
      </c>
      <c r="F116" s="6">
        <v>80000</v>
      </c>
      <c r="G116" s="8">
        <f t="shared" si="3"/>
        <v>10000</v>
      </c>
    </row>
    <row r="117" spans="1:7" x14ac:dyDescent="0.25">
      <c r="A117" s="1" t="s">
        <v>17</v>
      </c>
      <c r="B117" s="2" t="s">
        <v>13</v>
      </c>
      <c r="C117" s="2" t="s">
        <v>7</v>
      </c>
      <c r="D117" s="3" t="s">
        <v>22</v>
      </c>
      <c r="E117" s="3">
        <v>90000</v>
      </c>
      <c r="F117" s="6">
        <v>110000</v>
      </c>
      <c r="G117" s="8">
        <f t="shared" si="3"/>
        <v>20000</v>
      </c>
    </row>
    <row r="118" spans="1:7" x14ac:dyDescent="0.25">
      <c r="A118" s="1" t="s">
        <v>17</v>
      </c>
      <c r="B118" s="2" t="s">
        <v>14</v>
      </c>
      <c r="C118" s="2" t="s">
        <v>5</v>
      </c>
      <c r="D118" s="3" t="s">
        <v>22</v>
      </c>
      <c r="E118" s="3">
        <v>200000</v>
      </c>
      <c r="F118" s="6">
        <v>180000</v>
      </c>
      <c r="G118" s="8">
        <f t="shared" si="3"/>
        <v>-20000</v>
      </c>
    </row>
    <row r="119" spans="1:7" x14ac:dyDescent="0.25">
      <c r="A119" s="1" t="s">
        <v>17</v>
      </c>
      <c r="B119" s="2" t="s">
        <v>10</v>
      </c>
      <c r="C119" s="2" t="s">
        <v>5</v>
      </c>
      <c r="D119" s="3" t="s">
        <v>22</v>
      </c>
      <c r="E119" s="3">
        <v>70000</v>
      </c>
      <c r="F119" s="6">
        <v>72000</v>
      </c>
      <c r="G119" s="8">
        <f t="shared" si="3"/>
        <v>2000</v>
      </c>
    </row>
    <row r="120" spans="1:7" x14ac:dyDescent="0.25">
      <c r="A120" s="1" t="s">
        <v>17</v>
      </c>
      <c r="B120" s="2" t="s">
        <v>14</v>
      </c>
      <c r="C120" s="2" t="s">
        <v>9</v>
      </c>
      <c r="D120" s="3" t="s">
        <v>22</v>
      </c>
      <c r="E120" s="3">
        <v>200000</v>
      </c>
      <c r="F120" s="6">
        <v>200000</v>
      </c>
      <c r="G120" s="8">
        <f t="shared" si="3"/>
        <v>0</v>
      </c>
    </row>
    <row r="121" spans="1:7" x14ac:dyDescent="0.25">
      <c r="A121" s="1" t="s">
        <v>17</v>
      </c>
      <c r="B121" s="2" t="s">
        <v>12</v>
      </c>
      <c r="C121" s="2" t="s">
        <v>9</v>
      </c>
      <c r="D121" s="3" t="s">
        <v>22</v>
      </c>
      <c r="E121" s="3">
        <v>275000</v>
      </c>
      <c r="F121" s="6">
        <v>260000</v>
      </c>
      <c r="G121" s="8">
        <f t="shared" si="3"/>
        <v>-15000</v>
      </c>
    </row>
    <row r="122" spans="1:7" x14ac:dyDescent="0.25">
      <c r="A122" s="1" t="s">
        <v>17</v>
      </c>
      <c r="B122" s="2" t="s">
        <v>12</v>
      </c>
      <c r="C122" s="2" t="s">
        <v>5</v>
      </c>
      <c r="D122" s="3" t="s">
        <v>22</v>
      </c>
      <c r="E122" s="3">
        <v>275000</v>
      </c>
      <c r="F122" s="6">
        <v>280000</v>
      </c>
      <c r="G122" s="8">
        <f t="shared" si="3"/>
        <v>5000</v>
      </c>
    </row>
    <row r="123" spans="1:7" x14ac:dyDescent="0.25">
      <c r="A123" s="1" t="s">
        <v>17</v>
      </c>
      <c r="B123" s="2" t="s">
        <v>10</v>
      </c>
      <c r="C123" s="2" t="s">
        <v>7</v>
      </c>
      <c r="D123" s="3" t="s">
        <v>22</v>
      </c>
      <c r="E123" s="3">
        <v>70000</v>
      </c>
      <c r="F123" s="6">
        <v>72000</v>
      </c>
      <c r="G123" s="8">
        <f t="shared" si="3"/>
        <v>2000</v>
      </c>
    </row>
    <row r="124" spans="1:7" x14ac:dyDescent="0.25">
      <c r="A124" s="1" t="s">
        <v>17</v>
      </c>
      <c r="B124" s="4" t="s">
        <v>8</v>
      </c>
      <c r="C124" s="4" t="s">
        <v>7</v>
      </c>
      <c r="D124" s="3" t="s">
        <v>22</v>
      </c>
      <c r="E124" s="3">
        <v>70000</v>
      </c>
      <c r="F124" s="6">
        <v>72000</v>
      </c>
      <c r="G124" s="8">
        <f t="shared" si="3"/>
        <v>2000</v>
      </c>
    </row>
    <row r="125" spans="1:7" x14ac:dyDescent="0.25">
      <c r="A125" s="13" t="s">
        <v>17</v>
      </c>
      <c r="B125" s="4" t="s">
        <v>13</v>
      </c>
      <c r="C125" s="4" t="s">
        <v>7</v>
      </c>
      <c r="D125" s="14" t="s">
        <v>25</v>
      </c>
      <c r="E125" s="14">
        <v>50000</v>
      </c>
      <c r="F125" s="15">
        <v>60000</v>
      </c>
      <c r="G125" s="14">
        <f t="shared" si="3"/>
        <v>10000</v>
      </c>
    </row>
    <row r="126" spans="1:7" x14ac:dyDescent="0.25">
      <c r="A126" s="13" t="s">
        <v>17</v>
      </c>
      <c r="B126" s="4" t="s">
        <v>6</v>
      </c>
      <c r="C126" s="4" t="s">
        <v>11</v>
      </c>
      <c r="D126" s="14" t="s">
        <v>25</v>
      </c>
      <c r="E126" s="14">
        <v>150000</v>
      </c>
      <c r="F126" s="15">
        <v>150000</v>
      </c>
      <c r="G126" s="14">
        <f t="shared" si="3"/>
        <v>0</v>
      </c>
    </row>
  </sheetData>
  <sortState ref="I2:K8">
    <sortCondition ref="I2:I8"/>
  </sortState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C13" sqref="C13"/>
    </sheetView>
  </sheetViews>
  <sheetFormatPr defaultRowHeight="15.75" x14ac:dyDescent="0.25"/>
  <cols>
    <col min="1" max="1" width="13.7109375" style="12" bestFit="1" customWidth="1"/>
    <col min="2" max="2" width="17" customWidth="1"/>
    <col min="3" max="4" width="15" style="21" bestFit="1" customWidth="1"/>
    <col min="5" max="5" width="11.140625" style="21" bestFit="1" customWidth="1"/>
    <col min="6" max="6" width="14.28515625" customWidth="1"/>
  </cols>
  <sheetData>
    <row r="1" spans="1:11" ht="56.25" customHeight="1" x14ac:dyDescent="0.25">
      <c r="A1" s="22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24"/>
      <c r="B2" s="25"/>
      <c r="C2" s="26"/>
      <c r="D2" s="26"/>
      <c r="E2" s="26"/>
      <c r="F2" s="25"/>
      <c r="G2" s="25"/>
      <c r="H2" s="25"/>
      <c r="I2" s="25"/>
      <c r="J2" s="25"/>
      <c r="K2" s="25"/>
    </row>
    <row r="3" spans="1:11" ht="32.25" customHeight="1" x14ac:dyDescent="0.25">
      <c r="A3" s="24"/>
      <c r="B3" s="27" t="s">
        <v>28</v>
      </c>
      <c r="C3" s="27" t="s">
        <v>23</v>
      </c>
      <c r="D3" s="27" t="s">
        <v>24</v>
      </c>
      <c r="E3" s="27" t="s">
        <v>21</v>
      </c>
      <c r="F3" s="25"/>
      <c r="G3" s="25"/>
      <c r="H3" s="25"/>
      <c r="I3" s="25"/>
      <c r="J3" s="25"/>
      <c r="K3" s="25"/>
    </row>
    <row r="4" spans="1:11" ht="18.75" x14ac:dyDescent="0.25">
      <c r="A4" s="27" t="s">
        <v>0</v>
      </c>
      <c r="B4" s="28" t="s">
        <v>3</v>
      </c>
      <c r="C4" s="29">
        <f>SUMIFS(MIS_Data!F:F,MIS_Data!A:A,B4,MIS_Data!B:B,B5,MIS_Data!C:C,B6,MIS_Data!D:D,B7)</f>
        <v>47000</v>
      </c>
      <c r="D4" s="29">
        <f>SUMIFS(MIS_Data!E:E,MIS_Data!A:A,B4,MIS_Data!B:B,B5,MIS_Data!C:C,B6,MIS_Data!D:D,B7)</f>
        <v>50000</v>
      </c>
      <c r="E4" s="29">
        <f>C4-D4</f>
        <v>-3000</v>
      </c>
      <c r="F4" s="29" t="str">
        <f>IF(E4&gt;=0,"On Track", "Below Target")</f>
        <v>Below Target</v>
      </c>
      <c r="G4" s="25"/>
      <c r="H4" s="25"/>
      <c r="I4" s="25"/>
      <c r="J4" s="25"/>
      <c r="K4" s="25"/>
    </row>
    <row r="5" spans="1:11" ht="18.75" x14ac:dyDescent="0.25">
      <c r="A5" s="27" t="s">
        <v>1</v>
      </c>
      <c r="B5" s="28" t="s">
        <v>10</v>
      </c>
      <c r="C5" s="26"/>
      <c r="D5" s="26"/>
      <c r="E5" s="26"/>
      <c r="F5" s="25"/>
      <c r="G5" s="25"/>
      <c r="H5" s="25"/>
      <c r="I5" s="25"/>
      <c r="J5" s="25"/>
      <c r="K5" s="25"/>
    </row>
    <row r="6" spans="1:11" ht="18.75" x14ac:dyDescent="0.25">
      <c r="A6" s="27" t="s">
        <v>2</v>
      </c>
      <c r="B6" s="28" t="s">
        <v>11</v>
      </c>
      <c r="C6" s="26"/>
      <c r="D6" s="26"/>
      <c r="E6" s="26"/>
      <c r="F6" s="25"/>
      <c r="G6" s="25"/>
      <c r="H6" s="25"/>
      <c r="I6" s="25"/>
      <c r="J6" s="25"/>
      <c r="K6" s="25"/>
    </row>
    <row r="7" spans="1:11" ht="18.75" x14ac:dyDescent="0.25">
      <c r="A7" s="27" t="s">
        <v>18</v>
      </c>
      <c r="B7" s="28" t="s">
        <v>22</v>
      </c>
      <c r="C7" s="26"/>
      <c r="D7" s="26"/>
      <c r="E7" s="26"/>
      <c r="F7" s="25"/>
      <c r="G7" s="25"/>
      <c r="H7" s="25"/>
      <c r="I7" s="25"/>
      <c r="J7" s="25"/>
      <c r="K7" s="25"/>
    </row>
    <row r="8" spans="1:11" x14ac:dyDescent="0.25">
      <c r="A8" s="24"/>
      <c r="B8" s="25"/>
      <c r="C8" s="26"/>
      <c r="D8" s="26"/>
      <c r="E8" s="26"/>
      <c r="F8" s="25"/>
      <c r="G8" s="25"/>
      <c r="H8" s="25"/>
      <c r="I8" s="25"/>
      <c r="J8" s="25"/>
      <c r="K8" s="25"/>
    </row>
    <row r="9" spans="1:11" x14ac:dyDescent="0.25">
      <c r="A9" s="24"/>
      <c r="B9" s="25"/>
      <c r="C9" s="26"/>
      <c r="D9" s="26"/>
      <c r="E9" s="26"/>
      <c r="F9" s="25"/>
      <c r="G9" s="25"/>
      <c r="H9" s="25"/>
      <c r="I9" s="25"/>
      <c r="J9" s="25"/>
      <c r="K9" s="25"/>
    </row>
    <row r="10" spans="1:11" ht="18.75" x14ac:dyDescent="0.3">
      <c r="A10" s="31" t="s">
        <v>0</v>
      </c>
      <c r="B10" s="32" t="s">
        <v>23</v>
      </c>
      <c r="C10" s="26"/>
      <c r="D10" s="26"/>
      <c r="E10" s="26"/>
      <c r="F10" s="25"/>
      <c r="G10" s="25"/>
      <c r="H10" s="25"/>
      <c r="I10" s="25"/>
      <c r="J10" s="25"/>
      <c r="K10" s="25"/>
    </row>
    <row r="11" spans="1:11" ht="18.75" x14ac:dyDescent="0.3">
      <c r="A11" s="31" t="s">
        <v>3</v>
      </c>
      <c r="B11" s="30">
        <f>SUMIF(MIS_Data!A:A,A11,MIS_Data!F:F)</f>
        <v>3577000</v>
      </c>
      <c r="C11" s="26"/>
      <c r="D11" s="26"/>
      <c r="E11" s="26"/>
      <c r="F11" s="25"/>
      <c r="G11" s="25"/>
      <c r="H11" s="25"/>
      <c r="I11" s="25"/>
      <c r="J11" s="25"/>
      <c r="K11" s="25"/>
    </row>
    <row r="12" spans="1:11" ht="18.75" x14ac:dyDescent="0.3">
      <c r="A12" s="31" t="s">
        <v>15</v>
      </c>
      <c r="B12" s="30">
        <f>SUMIF(MIS_Data!A:A,A12,MIS_Data!F:F)</f>
        <v>3839000</v>
      </c>
      <c r="C12" s="26"/>
      <c r="D12" s="26"/>
      <c r="E12" s="26"/>
      <c r="F12" s="25"/>
      <c r="G12" s="25"/>
      <c r="H12" s="25"/>
      <c r="I12" s="25"/>
      <c r="J12" s="25"/>
      <c r="K12" s="25"/>
    </row>
    <row r="13" spans="1:11" ht="18.75" x14ac:dyDescent="0.3">
      <c r="A13" s="31" t="s">
        <v>16</v>
      </c>
      <c r="B13" s="30">
        <f>SUMIF(MIS_Data!A:A,A13,MIS_Data!F:F)</f>
        <v>4447000</v>
      </c>
      <c r="C13" s="26"/>
      <c r="D13" s="26"/>
      <c r="E13" s="26"/>
      <c r="F13" s="25"/>
      <c r="G13" s="25"/>
      <c r="H13" s="25"/>
      <c r="I13" s="25"/>
      <c r="J13" s="25"/>
      <c r="K13" s="25"/>
    </row>
    <row r="14" spans="1:11" ht="18.75" x14ac:dyDescent="0.3">
      <c r="A14" s="31" t="s">
        <v>17</v>
      </c>
      <c r="B14" s="30">
        <f>SUMIF(MIS_Data!A:A,A14,MIS_Data!F:F)</f>
        <v>7436000</v>
      </c>
      <c r="C14" s="26"/>
      <c r="D14" s="26"/>
      <c r="E14" s="26"/>
      <c r="F14" s="25"/>
      <c r="G14" s="25"/>
      <c r="H14" s="25"/>
      <c r="I14" s="25"/>
      <c r="J14" s="25"/>
      <c r="K14" s="25"/>
    </row>
    <row r="15" spans="1:11" ht="18.75" x14ac:dyDescent="0.3">
      <c r="A15" s="31" t="s">
        <v>26</v>
      </c>
      <c r="B15" s="33">
        <f>SUM(B11:B14)</f>
        <v>19299000</v>
      </c>
      <c r="C15" s="26"/>
      <c r="D15" s="26"/>
      <c r="E15" s="26"/>
      <c r="F15" s="25"/>
      <c r="G15" s="25"/>
      <c r="H15" s="25"/>
      <c r="I15" s="25"/>
      <c r="J15" s="25"/>
      <c r="K15" s="25"/>
    </row>
    <row r="16" spans="1:11" x14ac:dyDescent="0.25">
      <c r="A16" s="24"/>
      <c r="B16" s="25"/>
      <c r="C16" s="26"/>
      <c r="D16" s="26"/>
      <c r="E16" s="26"/>
      <c r="F16" s="25"/>
      <c r="G16" s="25"/>
      <c r="H16" s="25"/>
      <c r="I16" s="25"/>
      <c r="J16" s="25"/>
      <c r="K16" s="25"/>
    </row>
    <row r="17" spans="1:11" x14ac:dyDescent="0.25">
      <c r="A17" s="24"/>
      <c r="B17" s="25"/>
      <c r="C17" s="26"/>
      <c r="D17" s="26"/>
      <c r="E17" s="26"/>
      <c r="F17" s="25"/>
      <c r="G17" s="25"/>
      <c r="H17" s="25"/>
      <c r="I17" s="25"/>
      <c r="J17" s="25"/>
      <c r="K17" s="25"/>
    </row>
    <row r="18" spans="1:11" x14ac:dyDescent="0.25">
      <c r="A18" s="24"/>
      <c r="B18" s="25"/>
      <c r="C18" s="26"/>
      <c r="D18" s="26"/>
      <c r="E18" s="26"/>
      <c r="F18" s="25"/>
      <c r="G18" s="25"/>
      <c r="H18" s="25"/>
      <c r="I18" s="25"/>
      <c r="J18" s="25"/>
      <c r="K18" s="25"/>
    </row>
    <row r="19" spans="1:11" x14ac:dyDescent="0.25">
      <c r="A19" s="24"/>
      <c r="B19" s="25"/>
      <c r="C19" s="26"/>
      <c r="D19" s="26"/>
      <c r="E19" s="26"/>
      <c r="F19" s="25"/>
      <c r="G19" s="25"/>
      <c r="H19" s="25"/>
      <c r="I19" s="25"/>
      <c r="J19" s="25"/>
      <c r="K19" s="25"/>
    </row>
    <row r="20" spans="1:11" x14ac:dyDescent="0.25">
      <c r="A20" s="24"/>
      <c r="B20" s="25"/>
      <c r="C20" s="26"/>
      <c r="D20" s="26"/>
      <c r="E20" s="26"/>
      <c r="F20" s="25"/>
      <c r="G20" s="25"/>
      <c r="H20" s="25"/>
      <c r="I20" s="25"/>
      <c r="J20" s="25"/>
      <c r="K20" s="25"/>
    </row>
    <row r="21" spans="1:11" x14ac:dyDescent="0.25">
      <c r="A21" s="24"/>
      <c r="B21" s="25"/>
      <c r="C21" s="26"/>
      <c r="D21" s="26"/>
      <c r="E21" s="26"/>
      <c r="F21" s="25"/>
      <c r="G21" s="25"/>
      <c r="H21" s="25"/>
      <c r="I21" s="25"/>
      <c r="J21" s="25"/>
      <c r="K21" s="25"/>
    </row>
    <row r="22" spans="1:11" x14ac:dyDescent="0.25">
      <c r="A22" s="24"/>
      <c r="B22" s="25"/>
      <c r="C22" s="26"/>
      <c r="D22" s="26"/>
      <c r="E22" s="26"/>
      <c r="F22" s="25"/>
      <c r="G22" s="25"/>
      <c r="H22" s="25"/>
      <c r="I22" s="25"/>
      <c r="J22" s="25"/>
      <c r="K22" s="25"/>
    </row>
    <row r="23" spans="1:11" x14ac:dyDescent="0.25">
      <c r="A23" s="24"/>
      <c r="B23" s="25"/>
      <c r="C23" s="26"/>
      <c r="D23" s="26"/>
      <c r="E23" s="26"/>
      <c r="F23" s="25"/>
      <c r="G23" s="25"/>
      <c r="H23" s="25"/>
      <c r="I23" s="25"/>
      <c r="J23" s="25"/>
      <c r="K23" s="25"/>
    </row>
  </sheetData>
  <mergeCells count="1">
    <mergeCell ref="A1:K1"/>
  </mergeCells>
  <conditionalFormatting sqref="F4">
    <cfRule type="containsText" dxfId="1" priority="1" operator="containsText" text="On Track">
      <formula>NOT(ISERROR(SEARCH("On Track",F4)))</formula>
    </cfRule>
    <cfRule type="containsText" dxfId="0" priority="2" operator="containsText" text="Below Target">
      <formula>NOT(ISERROR(SEARCH("Below Target",F4)))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MIS_Data!$I$2:$I$5</xm:f>
          </x14:formula1>
          <xm:sqref>B4 A11:A14</xm:sqref>
        </x14:dataValidation>
        <x14:dataValidation type="list" allowBlank="1" showInputMessage="1" showErrorMessage="1">
          <x14:formula1>
            <xm:f>MIS_Data!$K$2:$K$5</xm:f>
          </x14:formula1>
          <xm:sqref>B6</xm:sqref>
        </x14:dataValidation>
        <x14:dataValidation type="list" allowBlank="1" showInputMessage="1" showErrorMessage="1">
          <x14:formula1>
            <xm:f>MIS_Data!$J$2:$J$8</xm:f>
          </x14:formula1>
          <xm:sqref>B5</xm:sqref>
        </x14:dataValidation>
        <x14:dataValidation type="list" allowBlank="1" showInputMessage="1" showErrorMessage="1">
          <x14:formula1>
            <xm:f>MIS_Data!$L$2:$L$3</xm:f>
          </x14:formula1>
          <xm:sqref>B7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MIS_Data</vt:lpstr>
      <vt:lpstr>MIS_Report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2025-12-30T10:32:33Z</dcterms:modified>
</cp:coreProperties>
</file>