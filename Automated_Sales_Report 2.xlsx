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ales Data" sheetId="1" r:id="rId1"/>
    <sheet name="Report " sheetId="2" r:id="rId2"/>
  </sheets>
  <definedNames>
    <definedName name="_xlnm._FilterDatabase" localSheetId="0" hidden="1">'Sales Data'!$B$1:$G$121</definedName>
  </definedNam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  <c r="B14" i="2" l="1"/>
  <c r="B13" i="2"/>
  <c r="B15" i="2"/>
  <c r="B7" i="2"/>
  <c r="B12" i="2"/>
  <c r="B16" i="2" l="1"/>
</calcChain>
</file>

<file path=xl/sharedStrings.xml><?xml version="1.0" encoding="utf-8"?>
<sst xmlns="http://schemas.openxmlformats.org/spreadsheetml/2006/main" count="384" uniqueCount="30">
  <si>
    <t>Date</t>
  </si>
  <si>
    <t>Region</t>
  </si>
  <si>
    <t>Product</t>
  </si>
  <si>
    <t>East</t>
  </si>
  <si>
    <t>Laptop</t>
  </si>
  <si>
    <t>South</t>
  </si>
  <si>
    <t>Phone</t>
  </si>
  <si>
    <t>North</t>
  </si>
  <si>
    <t>Desk</t>
  </si>
  <si>
    <t>Chair</t>
  </si>
  <si>
    <t>Monitor</t>
  </si>
  <si>
    <t>West</t>
  </si>
  <si>
    <t>Tablet</t>
  </si>
  <si>
    <t>Printer</t>
  </si>
  <si>
    <t>Unit Price</t>
  </si>
  <si>
    <t>Quantity</t>
  </si>
  <si>
    <t>Total Sales</t>
  </si>
  <si>
    <t>Month</t>
  </si>
  <si>
    <t>Jan</t>
  </si>
  <si>
    <t>Feb</t>
  </si>
  <si>
    <t>March</t>
  </si>
  <si>
    <t>April</t>
  </si>
  <si>
    <t>Fields</t>
  </si>
  <si>
    <t>Total Sales =</t>
  </si>
  <si>
    <t xml:space="preserve">Month </t>
  </si>
  <si>
    <t xml:space="preserve">Region </t>
  </si>
  <si>
    <t>Sale</t>
  </si>
  <si>
    <t>Drop-down</t>
  </si>
  <si>
    <r>
      <rPr>
        <b/>
        <sz val="28"/>
        <color theme="0"/>
        <rFont val="Calibri"/>
        <family val="2"/>
        <scheme val="minor"/>
      </rPr>
      <t>Automated Sales Report</t>
    </r>
    <r>
      <rPr>
        <sz val="11"/>
        <color theme="0"/>
        <rFont val="Calibri"/>
        <family val="2"/>
        <scheme val="minor"/>
      </rPr>
      <t xml:space="preserve">
(Dynamic report using excel formulas and drop-downs)</t>
    </r>
  </si>
  <si>
    <t>Total Sale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</si>
</sst>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\-mm\-yy;@"/>
    <numFmt numFmtId="165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 applyFill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/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4009]dd\-mm\-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2" defaultPivotStyle="PivotStyleMedium9">
    <tableStyle name="Table Style 1" pivot="0" count="0"/>
    <tableStyle name="Table Style 2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Month-wise</a:t>
            </a:r>
            <a:r>
              <a:rPr lang="en-US" sz="1600" b="1" baseline="0">
                <a:solidFill>
                  <a:schemeClr val="tx1"/>
                </a:solidFill>
              </a:rPr>
              <a:t> Sales Trend</a:t>
            </a:r>
            <a:endParaRPr lang="en-US" sz="16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'!$B$11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'!$A$12:$A$15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'Report '!$B$12:$B$15</c:f>
              <c:numCache>
                <c:formatCode>#,##0</c:formatCode>
                <c:ptCount val="4"/>
                <c:pt idx="0">
                  <c:v>1034500</c:v>
                </c:pt>
                <c:pt idx="1">
                  <c:v>1125000</c:v>
                </c:pt>
                <c:pt idx="2">
                  <c:v>1806500</c:v>
                </c:pt>
                <c:pt idx="3">
                  <c:v>1308000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855472"/>
        <c:axId val="267855856"/>
      </c:barChart>
      <c:catAx>
        <c:axId val="26785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55856"/>
        <c:crosses val="autoZero"/>
        <c:auto val="1"/>
        <c:lblAlgn val="ctr"/>
        <c:lblOffset val="100"/>
        <c:noMultiLvlLbl val="0"/>
      </c:catAx>
      <c:valAx>
        <c:axId val="2678558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678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981075</xdr:colOff>
      <xdr:row>1</xdr:row>
      <xdr:rowOff>95250</xdr:rowOff>
    </xdr:from>
    <xdr:to>
      <xdr:col>1</xdr:col>
      <xdr:colOff>1095375</xdr:colOff>
      <xdr:row>1</xdr:row>
      <xdr:rowOff>276225</xdr:rowOff>
    </xdr:to>
    <xdr:sp macro="" textlink="">
      <xdr:nvSpPr>
        <xdr:cNvPr id="5" name="Down Arrow 4"/>
        <xdr:cNvSpPr/>
      </xdr:nvSpPr>
      <xdr:spPr>
        <a:xfrm>
          <a:off x="1771650" y="95250"/>
          <a:ext cx="114300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9525</xdr:colOff>
      <xdr:row>1</xdr:row>
      <xdr:rowOff>9525</xdr:rowOff>
    </xdr:from>
    <xdr:to>
      <xdr:col>9</xdr:col>
      <xdr:colOff>0</xdr:colOff>
      <xdr:row>16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:G121" totalsRowShown="0" headerRowDxfId="17" dataDxfId="15" headerRowBorderDxfId="16" tableBorderDxfId="14" totalsRowBorderDxfId="13">
  <tableColumns count="6">
    <tableColumn id="1" name="Date" dataDxfId="12"/>
    <tableColumn id="2" name="Product" dataDxfId="11"/>
    <tableColumn id="3" name="Region" dataDxfId="10"/>
    <tableColumn id="4" name="Unit Price" dataDxfId="9"/>
    <tableColumn id="5" name="Quantity" dataDxfId="8"/>
    <tableColumn id="6" name="Total Sales" dataDxfId="7">
      <calculatedColumnFormula>Table1[[#This Row],[Unit Price]]*Table1[[#This Row],[Quantity]]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121" headerRowDxfId="6" dataDxfId="4" headerRowBorderDxfId="5" tableBorderDxfId="3" totalsRowBorderDxfId="2">
  <autoFilter ref="A1:A121">
    <filterColumn colId="0" hiddenButton="1"/>
  </autoFilter>
  <tableColumns count="1">
    <tableColumn id="1" name="Month" totalsRowFunction="count" dataDxfId="1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pane ySplit="1" topLeftCell="A30" activePane="bottomLeft" state="frozen"/>
      <selection pane="bottomLeft" activeCell="C11" sqref="C11"/>
    </sheetView>
  </sheetViews>
  <sheetFormatPr defaultRowHeight="15" x14ac:dyDescent="0.25"/>
  <cols>
    <col min="1" max="1" width="9.85546875" customWidth="1"/>
    <col min="2" max="4" width="15.140625" style="1" customWidth="1"/>
    <col min="5" max="5" width="12.7109375" style="4" customWidth="1"/>
    <col min="6" max="6" width="11.85546875" style="1" customWidth="1"/>
    <col min="7" max="7" width="13.5703125" style="1" customWidth="1"/>
  </cols>
  <sheetData>
    <row r="1" spans="1:7" ht="15.75" x14ac:dyDescent="0.25">
      <c r="A1" s="16" t="s">
        <v>17</v>
      </c>
      <c r="B1" s="7" t="s">
        <v>0</v>
      </c>
      <c r="C1" s="8" t="s">
        <v>2</v>
      </c>
      <c r="D1" s="8" t="s">
        <v>1</v>
      </c>
      <c r="E1" s="9" t="s">
        <v>14</v>
      </c>
      <c r="F1" s="8" t="s">
        <v>15</v>
      </c>
      <c r="G1" s="10" t="s">
        <v>16</v>
      </c>
    </row>
    <row r="2" spans="1:7" x14ac:dyDescent="0.25">
      <c r="A2" s="15" t="s">
        <v>18</v>
      </c>
      <c r="B2" s="5">
        <v>45658</v>
      </c>
      <c r="C2" s="2" t="s">
        <v>4</v>
      </c>
      <c r="D2" s="2" t="s">
        <v>3</v>
      </c>
      <c r="E2" s="3">
        <v>20000</v>
      </c>
      <c r="F2" s="2">
        <v>1</v>
      </c>
      <c r="G2" s="6">
        <f>Table1[[#This Row],[Unit Price]]*Table1[[#This Row],[Quantity]]</f>
        <v>20000</v>
      </c>
    </row>
    <row r="3" spans="1:7" x14ac:dyDescent="0.25">
      <c r="A3" s="15" t="s">
        <v>18</v>
      </c>
      <c r="B3" s="5">
        <v>45659</v>
      </c>
      <c r="C3" s="2" t="s">
        <v>6</v>
      </c>
      <c r="D3" s="2" t="s">
        <v>5</v>
      </c>
      <c r="E3" s="3">
        <v>20000</v>
      </c>
      <c r="F3" s="2">
        <v>2</v>
      </c>
      <c r="G3" s="6">
        <f>Table1[[#This Row],[Unit Price]]*Table1[[#This Row],[Quantity]]</f>
        <v>40000</v>
      </c>
    </row>
    <row r="4" spans="1:7" x14ac:dyDescent="0.25">
      <c r="A4" s="15" t="s">
        <v>18</v>
      </c>
      <c r="B4" s="5">
        <v>45660</v>
      </c>
      <c r="C4" s="2" t="s">
        <v>8</v>
      </c>
      <c r="D4" s="2" t="s">
        <v>7</v>
      </c>
      <c r="E4" s="3">
        <v>4000</v>
      </c>
      <c r="F4" s="2">
        <v>1</v>
      </c>
      <c r="G4" s="6">
        <f>Table1[[#This Row],[Unit Price]]*Table1[[#This Row],[Quantity]]</f>
        <v>4000</v>
      </c>
    </row>
    <row r="5" spans="1:7" x14ac:dyDescent="0.25">
      <c r="A5" s="15" t="s">
        <v>18</v>
      </c>
      <c r="B5" s="5">
        <v>45661</v>
      </c>
      <c r="C5" s="2" t="s">
        <v>9</v>
      </c>
      <c r="D5" s="2" t="s">
        <v>11</v>
      </c>
      <c r="E5" s="3">
        <v>1000</v>
      </c>
      <c r="F5" s="2">
        <v>1</v>
      </c>
      <c r="G5" s="6">
        <f>Table1[[#This Row],[Unit Price]]*Table1[[#This Row],[Quantity]]</f>
        <v>1000</v>
      </c>
    </row>
    <row r="6" spans="1:7" x14ac:dyDescent="0.25">
      <c r="A6" s="15" t="s">
        <v>18</v>
      </c>
      <c r="B6" s="5">
        <v>45662</v>
      </c>
      <c r="C6" s="2" t="s">
        <v>12</v>
      </c>
      <c r="D6" s="2" t="s">
        <v>11</v>
      </c>
      <c r="E6" s="3">
        <v>15000</v>
      </c>
      <c r="F6" s="2">
        <v>1</v>
      </c>
      <c r="G6" s="6">
        <f>Table1[[#This Row],[Unit Price]]*Table1[[#This Row],[Quantity]]</f>
        <v>15000</v>
      </c>
    </row>
    <row r="7" spans="1:7" x14ac:dyDescent="0.25">
      <c r="A7" s="15" t="s">
        <v>18</v>
      </c>
      <c r="B7" s="5">
        <v>45663</v>
      </c>
      <c r="C7" s="2" t="s">
        <v>10</v>
      </c>
      <c r="D7" s="2" t="s">
        <v>7</v>
      </c>
      <c r="E7" s="3">
        <v>3000</v>
      </c>
      <c r="F7" s="2">
        <v>5</v>
      </c>
      <c r="G7" s="6">
        <f>Table1[[#This Row],[Unit Price]]*Table1[[#This Row],[Quantity]]</f>
        <v>15000</v>
      </c>
    </row>
    <row r="8" spans="1:7" x14ac:dyDescent="0.25">
      <c r="A8" s="15" t="s">
        <v>18</v>
      </c>
      <c r="B8" s="5">
        <v>45664</v>
      </c>
      <c r="C8" s="2" t="s">
        <v>13</v>
      </c>
      <c r="D8" s="2" t="s">
        <v>5</v>
      </c>
      <c r="E8" s="3">
        <v>1500</v>
      </c>
      <c r="F8" s="2">
        <v>3</v>
      </c>
      <c r="G8" s="6">
        <f>Table1[[#This Row],[Unit Price]]*Table1[[#This Row],[Quantity]]</f>
        <v>4500</v>
      </c>
    </row>
    <row r="9" spans="1:7" x14ac:dyDescent="0.25">
      <c r="A9" s="15" t="s">
        <v>18</v>
      </c>
      <c r="B9" s="5">
        <v>45665</v>
      </c>
      <c r="C9" s="2" t="s">
        <v>9</v>
      </c>
      <c r="D9" s="2" t="s">
        <v>7</v>
      </c>
      <c r="E9" s="3">
        <v>1000</v>
      </c>
      <c r="F9" s="2">
        <v>5</v>
      </c>
      <c r="G9" s="6">
        <f>Table1[[#This Row],[Unit Price]]*Table1[[#This Row],[Quantity]]</f>
        <v>5000</v>
      </c>
    </row>
    <row r="10" spans="1:7" x14ac:dyDescent="0.25">
      <c r="A10" s="15" t="s">
        <v>18</v>
      </c>
      <c r="B10" s="5">
        <v>45666</v>
      </c>
      <c r="C10" s="2" t="s">
        <v>9</v>
      </c>
      <c r="D10" s="2" t="s">
        <v>5</v>
      </c>
      <c r="E10" s="3">
        <v>1000</v>
      </c>
      <c r="F10" s="2">
        <v>2</v>
      </c>
      <c r="G10" s="6">
        <f>Table1[[#This Row],[Unit Price]]*Table1[[#This Row],[Quantity]]</f>
        <v>2000</v>
      </c>
    </row>
    <row r="11" spans="1:7" x14ac:dyDescent="0.25">
      <c r="A11" s="15" t="s">
        <v>18</v>
      </c>
      <c r="B11" s="5">
        <v>45667</v>
      </c>
      <c r="C11" s="2" t="s">
        <v>8</v>
      </c>
      <c r="D11" s="2" t="s">
        <v>11</v>
      </c>
      <c r="E11" s="3">
        <v>4000</v>
      </c>
      <c r="F11" s="2">
        <v>1</v>
      </c>
      <c r="G11" s="6">
        <f>Table1[[#This Row],[Unit Price]]*Table1[[#This Row],[Quantity]]</f>
        <v>4000</v>
      </c>
    </row>
    <row r="12" spans="1:7" x14ac:dyDescent="0.25">
      <c r="A12" s="15" t="s">
        <v>18</v>
      </c>
      <c r="B12" s="5">
        <v>45668</v>
      </c>
      <c r="C12" s="2" t="s">
        <v>8</v>
      </c>
      <c r="D12" s="2" t="s">
        <v>7</v>
      </c>
      <c r="E12" s="3">
        <v>4000</v>
      </c>
      <c r="F12" s="2">
        <v>1</v>
      </c>
      <c r="G12" s="6">
        <f>Table1[[#This Row],[Unit Price]]*Table1[[#This Row],[Quantity]]</f>
        <v>4000</v>
      </c>
    </row>
    <row r="13" spans="1:7" x14ac:dyDescent="0.25">
      <c r="A13" s="15" t="s">
        <v>18</v>
      </c>
      <c r="B13" s="5">
        <v>45669</v>
      </c>
      <c r="C13" s="2" t="s">
        <v>6</v>
      </c>
      <c r="D13" s="2" t="s">
        <v>3</v>
      </c>
      <c r="E13" s="3">
        <v>20000</v>
      </c>
      <c r="F13" s="2">
        <v>3</v>
      </c>
      <c r="G13" s="6">
        <f>Table1[[#This Row],[Unit Price]]*Table1[[#This Row],[Quantity]]</f>
        <v>60000</v>
      </c>
    </row>
    <row r="14" spans="1:7" x14ac:dyDescent="0.25">
      <c r="A14" s="15" t="s">
        <v>18</v>
      </c>
      <c r="B14" s="5">
        <v>45670</v>
      </c>
      <c r="C14" s="2" t="s">
        <v>6</v>
      </c>
      <c r="D14" s="2" t="s">
        <v>7</v>
      </c>
      <c r="E14" s="3">
        <v>20000</v>
      </c>
      <c r="F14" s="2">
        <v>3</v>
      </c>
      <c r="G14" s="6">
        <f>Table1[[#This Row],[Unit Price]]*Table1[[#This Row],[Quantity]]</f>
        <v>60000</v>
      </c>
    </row>
    <row r="15" spans="1:7" x14ac:dyDescent="0.25">
      <c r="A15" s="15" t="s">
        <v>18</v>
      </c>
      <c r="B15" s="5">
        <v>45671</v>
      </c>
      <c r="C15" s="2" t="s">
        <v>12</v>
      </c>
      <c r="D15" s="2" t="s">
        <v>11</v>
      </c>
      <c r="E15" s="3">
        <v>15000</v>
      </c>
      <c r="F15" s="2">
        <v>1</v>
      </c>
      <c r="G15" s="6">
        <f>Table1[[#This Row],[Unit Price]]*Table1[[#This Row],[Quantity]]</f>
        <v>15000</v>
      </c>
    </row>
    <row r="16" spans="1:7" x14ac:dyDescent="0.25">
      <c r="A16" s="15" t="s">
        <v>18</v>
      </c>
      <c r="B16" s="5">
        <v>45672</v>
      </c>
      <c r="C16" s="2" t="s">
        <v>8</v>
      </c>
      <c r="D16" s="2" t="s">
        <v>7</v>
      </c>
      <c r="E16" s="3">
        <v>4000</v>
      </c>
      <c r="F16" s="2">
        <v>4</v>
      </c>
      <c r="G16" s="6">
        <f>Table1[[#This Row],[Unit Price]]*Table1[[#This Row],[Quantity]]</f>
        <v>16000</v>
      </c>
    </row>
    <row r="17" spans="1:7" x14ac:dyDescent="0.25">
      <c r="A17" s="15" t="s">
        <v>18</v>
      </c>
      <c r="B17" s="5">
        <v>45673</v>
      </c>
      <c r="C17" s="2" t="s">
        <v>9</v>
      </c>
      <c r="D17" s="2" t="s">
        <v>11</v>
      </c>
      <c r="E17" s="3">
        <v>1000</v>
      </c>
      <c r="F17" s="2">
        <v>1</v>
      </c>
      <c r="G17" s="6">
        <f>Table1[[#This Row],[Unit Price]]*Table1[[#This Row],[Quantity]]</f>
        <v>1000</v>
      </c>
    </row>
    <row r="18" spans="1:7" x14ac:dyDescent="0.25">
      <c r="A18" s="15" t="s">
        <v>18</v>
      </c>
      <c r="B18" s="5">
        <v>45674</v>
      </c>
      <c r="C18" s="2" t="s">
        <v>4</v>
      </c>
      <c r="D18" s="2" t="s">
        <v>11</v>
      </c>
      <c r="E18" s="3">
        <v>20000</v>
      </c>
      <c r="F18" s="2">
        <v>2</v>
      </c>
      <c r="G18" s="6">
        <f>Table1[[#This Row],[Unit Price]]*Table1[[#This Row],[Quantity]]</f>
        <v>40000</v>
      </c>
    </row>
    <row r="19" spans="1:7" x14ac:dyDescent="0.25">
      <c r="A19" s="15" t="s">
        <v>18</v>
      </c>
      <c r="B19" s="5">
        <v>45675</v>
      </c>
      <c r="C19" s="2" t="s">
        <v>8</v>
      </c>
      <c r="D19" s="2" t="s">
        <v>7</v>
      </c>
      <c r="E19" s="3">
        <v>4000</v>
      </c>
      <c r="F19" s="2">
        <v>2</v>
      </c>
      <c r="G19" s="6">
        <f>Table1[[#This Row],[Unit Price]]*Table1[[#This Row],[Quantity]]</f>
        <v>8000</v>
      </c>
    </row>
    <row r="20" spans="1:7" x14ac:dyDescent="0.25">
      <c r="A20" s="15" t="s">
        <v>18</v>
      </c>
      <c r="B20" s="5">
        <v>45676</v>
      </c>
      <c r="C20" s="2" t="s">
        <v>6</v>
      </c>
      <c r="D20" s="2" t="s">
        <v>3</v>
      </c>
      <c r="E20" s="3">
        <v>20000</v>
      </c>
      <c r="F20" s="2">
        <v>6</v>
      </c>
      <c r="G20" s="6">
        <f>Table1[[#This Row],[Unit Price]]*Table1[[#This Row],[Quantity]]</f>
        <v>120000</v>
      </c>
    </row>
    <row r="21" spans="1:7" x14ac:dyDescent="0.25">
      <c r="A21" s="15" t="s">
        <v>18</v>
      </c>
      <c r="B21" s="5">
        <v>45677</v>
      </c>
      <c r="C21" s="2" t="s">
        <v>8</v>
      </c>
      <c r="D21" s="2" t="s">
        <v>11</v>
      </c>
      <c r="E21" s="3">
        <v>4000</v>
      </c>
      <c r="F21" s="2">
        <v>3</v>
      </c>
      <c r="G21" s="6">
        <f>Table1[[#This Row],[Unit Price]]*Table1[[#This Row],[Quantity]]</f>
        <v>12000</v>
      </c>
    </row>
    <row r="22" spans="1:7" x14ac:dyDescent="0.25">
      <c r="A22" s="15" t="s">
        <v>18</v>
      </c>
      <c r="B22" s="5">
        <v>45678</v>
      </c>
      <c r="C22" s="2" t="s">
        <v>6</v>
      </c>
      <c r="D22" s="2" t="s">
        <v>11</v>
      </c>
      <c r="E22" s="3">
        <v>20000</v>
      </c>
      <c r="F22" s="2">
        <v>5</v>
      </c>
      <c r="G22" s="6">
        <f>Table1[[#This Row],[Unit Price]]*Table1[[#This Row],[Quantity]]</f>
        <v>100000</v>
      </c>
    </row>
    <row r="23" spans="1:7" x14ac:dyDescent="0.25">
      <c r="A23" s="15" t="s">
        <v>18</v>
      </c>
      <c r="B23" s="5">
        <v>45679</v>
      </c>
      <c r="C23" s="2" t="s">
        <v>9</v>
      </c>
      <c r="D23" s="2" t="s">
        <v>7</v>
      </c>
      <c r="E23" s="3">
        <v>1000</v>
      </c>
      <c r="F23" s="2">
        <v>4</v>
      </c>
      <c r="G23" s="6">
        <f>Table1[[#This Row],[Unit Price]]*Table1[[#This Row],[Quantity]]</f>
        <v>4000</v>
      </c>
    </row>
    <row r="24" spans="1:7" x14ac:dyDescent="0.25">
      <c r="A24" s="15" t="s">
        <v>18</v>
      </c>
      <c r="B24" s="5">
        <v>45680</v>
      </c>
      <c r="C24" s="2" t="s">
        <v>4</v>
      </c>
      <c r="D24" s="2" t="s">
        <v>7</v>
      </c>
      <c r="E24" s="3">
        <v>20000</v>
      </c>
      <c r="F24" s="2">
        <v>2</v>
      </c>
      <c r="G24" s="6">
        <f>Table1[[#This Row],[Unit Price]]*Table1[[#This Row],[Quantity]]</f>
        <v>40000</v>
      </c>
    </row>
    <row r="25" spans="1:7" x14ac:dyDescent="0.25">
      <c r="A25" s="15" t="s">
        <v>18</v>
      </c>
      <c r="B25" s="5">
        <v>45681</v>
      </c>
      <c r="C25" s="2" t="s">
        <v>4</v>
      </c>
      <c r="D25" s="2" t="s">
        <v>7</v>
      </c>
      <c r="E25" s="3">
        <v>20000</v>
      </c>
      <c r="F25" s="2">
        <v>4</v>
      </c>
      <c r="G25" s="6">
        <f>Table1[[#This Row],[Unit Price]]*Table1[[#This Row],[Quantity]]</f>
        <v>80000</v>
      </c>
    </row>
    <row r="26" spans="1:7" x14ac:dyDescent="0.25">
      <c r="A26" s="15" t="s">
        <v>18</v>
      </c>
      <c r="B26" s="5">
        <v>45682</v>
      </c>
      <c r="C26" s="2" t="s">
        <v>8</v>
      </c>
      <c r="D26" s="2" t="s">
        <v>7</v>
      </c>
      <c r="E26" s="3">
        <v>4000</v>
      </c>
      <c r="F26" s="2">
        <v>6</v>
      </c>
      <c r="G26" s="6">
        <f>Table1[[#This Row],[Unit Price]]*Table1[[#This Row],[Quantity]]</f>
        <v>24000</v>
      </c>
    </row>
    <row r="27" spans="1:7" x14ac:dyDescent="0.25">
      <c r="A27" s="15" t="s">
        <v>18</v>
      </c>
      <c r="B27" s="5">
        <v>45683</v>
      </c>
      <c r="C27" s="2" t="s">
        <v>6</v>
      </c>
      <c r="D27" s="2" t="s">
        <v>3</v>
      </c>
      <c r="E27" s="3">
        <v>20000</v>
      </c>
      <c r="F27" s="2">
        <v>5</v>
      </c>
      <c r="G27" s="6">
        <f>Table1[[#This Row],[Unit Price]]*Table1[[#This Row],[Quantity]]</f>
        <v>100000</v>
      </c>
    </row>
    <row r="28" spans="1:7" x14ac:dyDescent="0.25">
      <c r="A28" s="15" t="s">
        <v>18</v>
      </c>
      <c r="B28" s="5">
        <v>45684</v>
      </c>
      <c r="C28" s="2" t="s">
        <v>6</v>
      </c>
      <c r="D28" s="2" t="s">
        <v>11</v>
      </c>
      <c r="E28" s="3">
        <v>20000</v>
      </c>
      <c r="F28" s="2">
        <v>1</v>
      </c>
      <c r="G28" s="6">
        <f>Table1[[#This Row],[Unit Price]]*Table1[[#This Row],[Quantity]]</f>
        <v>20000</v>
      </c>
    </row>
    <row r="29" spans="1:7" x14ac:dyDescent="0.25">
      <c r="A29" s="15" t="s">
        <v>18</v>
      </c>
      <c r="B29" s="5">
        <v>45685</v>
      </c>
      <c r="C29" s="2" t="s">
        <v>6</v>
      </c>
      <c r="D29" s="2" t="s">
        <v>7</v>
      </c>
      <c r="E29" s="3">
        <v>20000</v>
      </c>
      <c r="F29" s="2">
        <v>1</v>
      </c>
      <c r="G29" s="6">
        <f>Table1[[#This Row],[Unit Price]]*Table1[[#This Row],[Quantity]]</f>
        <v>20000</v>
      </c>
    </row>
    <row r="30" spans="1:7" x14ac:dyDescent="0.25">
      <c r="A30" s="15" t="s">
        <v>18</v>
      </c>
      <c r="B30" s="5">
        <v>45686</v>
      </c>
      <c r="C30" s="2" t="s">
        <v>4</v>
      </c>
      <c r="D30" s="2" t="s">
        <v>5</v>
      </c>
      <c r="E30" s="3">
        <v>20000</v>
      </c>
      <c r="F30" s="2">
        <v>4</v>
      </c>
      <c r="G30" s="6">
        <f>Table1[[#This Row],[Unit Price]]*Table1[[#This Row],[Quantity]]</f>
        <v>80000</v>
      </c>
    </row>
    <row r="31" spans="1:7" x14ac:dyDescent="0.25">
      <c r="A31" s="15" t="s">
        <v>18</v>
      </c>
      <c r="B31" s="5">
        <v>45687</v>
      </c>
      <c r="C31" s="2" t="s">
        <v>12</v>
      </c>
      <c r="D31" s="2" t="s">
        <v>7</v>
      </c>
      <c r="E31" s="3">
        <v>15000</v>
      </c>
      <c r="F31" s="2">
        <v>3</v>
      </c>
      <c r="G31" s="6">
        <f>Table1[[#This Row],[Unit Price]]*Table1[[#This Row],[Quantity]]</f>
        <v>45000</v>
      </c>
    </row>
    <row r="32" spans="1:7" x14ac:dyDescent="0.25">
      <c r="A32" s="15" t="s">
        <v>18</v>
      </c>
      <c r="B32" s="5">
        <v>45688</v>
      </c>
      <c r="C32" s="2" t="s">
        <v>12</v>
      </c>
      <c r="D32" s="2" t="s">
        <v>7</v>
      </c>
      <c r="E32" s="3">
        <v>15000</v>
      </c>
      <c r="F32" s="2">
        <v>5</v>
      </c>
      <c r="G32" s="6">
        <f>Table1[[#This Row],[Unit Price]]*Table1[[#This Row],[Quantity]]</f>
        <v>75000</v>
      </c>
    </row>
    <row r="33" spans="1:7" x14ac:dyDescent="0.25">
      <c r="A33" s="15" t="s">
        <v>19</v>
      </c>
      <c r="B33" s="5">
        <v>45689</v>
      </c>
      <c r="C33" s="2" t="s">
        <v>6</v>
      </c>
      <c r="D33" s="2" t="s">
        <v>11</v>
      </c>
      <c r="E33" s="3">
        <v>20000</v>
      </c>
      <c r="F33" s="2">
        <v>1</v>
      </c>
      <c r="G33" s="6">
        <f>Table1[[#This Row],[Unit Price]]*Table1[[#This Row],[Quantity]]</f>
        <v>20000</v>
      </c>
    </row>
    <row r="34" spans="1:7" x14ac:dyDescent="0.25">
      <c r="A34" s="15" t="s">
        <v>19</v>
      </c>
      <c r="B34" s="5">
        <v>45690</v>
      </c>
      <c r="C34" s="2" t="s">
        <v>4</v>
      </c>
      <c r="D34" s="2" t="s">
        <v>7</v>
      </c>
      <c r="E34" s="3">
        <v>20000</v>
      </c>
      <c r="F34" s="2">
        <v>7</v>
      </c>
      <c r="G34" s="6">
        <f>Table1[[#This Row],[Unit Price]]*Table1[[#This Row],[Quantity]]</f>
        <v>140000</v>
      </c>
    </row>
    <row r="35" spans="1:7" x14ac:dyDescent="0.25">
      <c r="A35" s="15" t="s">
        <v>19</v>
      </c>
      <c r="B35" s="5">
        <v>45691</v>
      </c>
      <c r="C35" s="2" t="s">
        <v>12</v>
      </c>
      <c r="D35" s="2" t="s">
        <v>5</v>
      </c>
      <c r="E35" s="3">
        <v>15000</v>
      </c>
      <c r="F35" s="2">
        <v>10</v>
      </c>
      <c r="G35" s="6">
        <f>Table1[[#This Row],[Unit Price]]*Table1[[#This Row],[Quantity]]</f>
        <v>150000</v>
      </c>
    </row>
    <row r="36" spans="1:7" x14ac:dyDescent="0.25">
      <c r="A36" s="15" t="s">
        <v>19</v>
      </c>
      <c r="B36" s="5">
        <v>45692</v>
      </c>
      <c r="C36" s="2" t="s">
        <v>12</v>
      </c>
      <c r="D36" s="2" t="s">
        <v>5</v>
      </c>
      <c r="E36" s="3">
        <v>15000</v>
      </c>
      <c r="F36" s="2">
        <v>4</v>
      </c>
      <c r="G36" s="6">
        <f>Table1[[#This Row],[Unit Price]]*Table1[[#This Row],[Quantity]]</f>
        <v>60000</v>
      </c>
    </row>
    <row r="37" spans="1:7" x14ac:dyDescent="0.25">
      <c r="A37" s="15" t="s">
        <v>19</v>
      </c>
      <c r="B37" s="5">
        <v>45693</v>
      </c>
      <c r="C37" s="2" t="s">
        <v>8</v>
      </c>
      <c r="D37" s="2" t="s">
        <v>7</v>
      </c>
      <c r="E37" s="3">
        <v>4000</v>
      </c>
      <c r="F37" s="2">
        <v>6</v>
      </c>
      <c r="G37" s="6">
        <f>Table1[[#This Row],[Unit Price]]*Table1[[#This Row],[Quantity]]</f>
        <v>24000</v>
      </c>
    </row>
    <row r="38" spans="1:7" x14ac:dyDescent="0.25">
      <c r="A38" s="15" t="s">
        <v>19</v>
      </c>
      <c r="B38" s="5">
        <v>45694</v>
      </c>
      <c r="C38" s="2" t="s">
        <v>6</v>
      </c>
      <c r="D38" s="2" t="s">
        <v>7</v>
      </c>
      <c r="E38" s="3">
        <v>20000</v>
      </c>
      <c r="F38" s="2">
        <v>1</v>
      </c>
      <c r="G38" s="6">
        <f>Table1[[#This Row],[Unit Price]]*Table1[[#This Row],[Quantity]]</f>
        <v>20000</v>
      </c>
    </row>
    <row r="39" spans="1:7" x14ac:dyDescent="0.25">
      <c r="A39" s="15" t="s">
        <v>19</v>
      </c>
      <c r="B39" s="5">
        <v>45695</v>
      </c>
      <c r="C39" s="2" t="s">
        <v>8</v>
      </c>
      <c r="D39" s="2" t="s">
        <v>5</v>
      </c>
      <c r="E39" s="3">
        <v>4000</v>
      </c>
      <c r="F39" s="2">
        <v>20</v>
      </c>
      <c r="G39" s="6">
        <f>Table1[[#This Row],[Unit Price]]*Table1[[#This Row],[Quantity]]</f>
        <v>80000</v>
      </c>
    </row>
    <row r="40" spans="1:7" x14ac:dyDescent="0.25">
      <c r="A40" s="15" t="s">
        <v>19</v>
      </c>
      <c r="B40" s="5">
        <v>45696</v>
      </c>
      <c r="C40" s="2" t="s">
        <v>8</v>
      </c>
      <c r="D40" s="2" t="s">
        <v>5</v>
      </c>
      <c r="E40" s="3">
        <v>4000</v>
      </c>
      <c r="F40" s="2">
        <v>12</v>
      </c>
      <c r="G40" s="6">
        <f>Table1[[#This Row],[Unit Price]]*Table1[[#This Row],[Quantity]]</f>
        <v>48000</v>
      </c>
    </row>
    <row r="41" spans="1:7" x14ac:dyDescent="0.25">
      <c r="A41" s="15" t="s">
        <v>19</v>
      </c>
      <c r="B41" s="5">
        <v>45697</v>
      </c>
      <c r="C41" s="2" t="s">
        <v>10</v>
      </c>
      <c r="D41" s="2" t="s">
        <v>7</v>
      </c>
      <c r="E41" s="3">
        <v>3000</v>
      </c>
      <c r="F41" s="2">
        <v>5</v>
      </c>
      <c r="G41" s="6">
        <f>Table1[[#This Row],[Unit Price]]*Table1[[#This Row],[Quantity]]</f>
        <v>15000</v>
      </c>
    </row>
    <row r="42" spans="1:7" x14ac:dyDescent="0.25">
      <c r="A42" s="15" t="s">
        <v>19</v>
      </c>
      <c r="B42" s="5">
        <v>45698</v>
      </c>
      <c r="C42" s="2" t="s">
        <v>12</v>
      </c>
      <c r="D42" s="2" t="s">
        <v>7</v>
      </c>
      <c r="E42" s="3">
        <v>15000</v>
      </c>
      <c r="F42" s="2">
        <v>4</v>
      </c>
      <c r="G42" s="6">
        <f>Table1[[#This Row],[Unit Price]]*Table1[[#This Row],[Quantity]]</f>
        <v>60000</v>
      </c>
    </row>
    <row r="43" spans="1:7" x14ac:dyDescent="0.25">
      <c r="A43" s="15" t="s">
        <v>19</v>
      </c>
      <c r="B43" s="5">
        <v>45699</v>
      </c>
      <c r="C43" s="2" t="s">
        <v>9</v>
      </c>
      <c r="D43" s="2" t="s">
        <v>5</v>
      </c>
      <c r="E43" s="3">
        <v>1000</v>
      </c>
      <c r="F43" s="2">
        <v>4</v>
      </c>
      <c r="G43" s="6">
        <f>Table1[[#This Row],[Unit Price]]*Table1[[#This Row],[Quantity]]</f>
        <v>4000</v>
      </c>
    </row>
    <row r="44" spans="1:7" x14ac:dyDescent="0.25">
      <c r="A44" s="15" t="s">
        <v>19</v>
      </c>
      <c r="B44" s="5">
        <v>45700</v>
      </c>
      <c r="C44" s="2" t="s">
        <v>9</v>
      </c>
      <c r="D44" s="2" t="s">
        <v>5</v>
      </c>
      <c r="E44" s="3">
        <v>1000</v>
      </c>
      <c r="F44" s="2">
        <v>6</v>
      </c>
      <c r="G44" s="6">
        <f>Table1[[#This Row],[Unit Price]]*Table1[[#This Row],[Quantity]]</f>
        <v>6000</v>
      </c>
    </row>
    <row r="45" spans="1:7" x14ac:dyDescent="0.25">
      <c r="A45" s="15" t="s">
        <v>19</v>
      </c>
      <c r="B45" s="5">
        <v>45701</v>
      </c>
      <c r="C45" s="2" t="s">
        <v>13</v>
      </c>
      <c r="D45" s="2" t="s">
        <v>5</v>
      </c>
      <c r="E45" s="3">
        <v>1500</v>
      </c>
      <c r="F45" s="2">
        <v>1</v>
      </c>
      <c r="G45" s="6">
        <f>Table1[[#This Row],[Unit Price]]*Table1[[#This Row],[Quantity]]</f>
        <v>1500</v>
      </c>
    </row>
    <row r="46" spans="1:7" x14ac:dyDescent="0.25">
      <c r="A46" s="15" t="s">
        <v>19</v>
      </c>
      <c r="B46" s="5">
        <v>45702</v>
      </c>
      <c r="C46" s="2" t="s">
        <v>4</v>
      </c>
      <c r="D46" s="2" t="s">
        <v>5</v>
      </c>
      <c r="E46" s="3">
        <v>20000</v>
      </c>
      <c r="F46" s="2">
        <v>4</v>
      </c>
      <c r="G46" s="6">
        <f>Table1[[#This Row],[Unit Price]]*Table1[[#This Row],[Quantity]]</f>
        <v>80000</v>
      </c>
    </row>
    <row r="47" spans="1:7" x14ac:dyDescent="0.25">
      <c r="A47" s="15" t="s">
        <v>19</v>
      </c>
      <c r="B47" s="5">
        <v>45703</v>
      </c>
      <c r="C47" s="2" t="s">
        <v>13</v>
      </c>
      <c r="D47" s="2" t="s">
        <v>5</v>
      </c>
      <c r="E47" s="3">
        <v>1500</v>
      </c>
      <c r="F47" s="2">
        <v>1</v>
      </c>
      <c r="G47" s="6">
        <f>Table1[[#This Row],[Unit Price]]*Table1[[#This Row],[Quantity]]</f>
        <v>1500</v>
      </c>
    </row>
    <row r="48" spans="1:7" x14ac:dyDescent="0.25">
      <c r="A48" s="15" t="s">
        <v>19</v>
      </c>
      <c r="B48" s="5">
        <v>45704</v>
      </c>
      <c r="C48" s="2" t="s">
        <v>13</v>
      </c>
      <c r="D48" s="2" t="s">
        <v>5</v>
      </c>
      <c r="E48" s="3">
        <v>1500</v>
      </c>
      <c r="F48" s="2">
        <v>4</v>
      </c>
      <c r="G48" s="6">
        <f>Table1[[#This Row],[Unit Price]]*Table1[[#This Row],[Quantity]]</f>
        <v>6000</v>
      </c>
    </row>
    <row r="49" spans="1:7" x14ac:dyDescent="0.25">
      <c r="A49" s="15" t="s">
        <v>19</v>
      </c>
      <c r="B49" s="5">
        <v>45705</v>
      </c>
      <c r="C49" s="2" t="s">
        <v>4</v>
      </c>
      <c r="D49" s="2" t="s">
        <v>5</v>
      </c>
      <c r="E49" s="3">
        <v>20000</v>
      </c>
      <c r="F49" s="2">
        <v>5</v>
      </c>
      <c r="G49" s="6">
        <f>Table1[[#This Row],[Unit Price]]*Table1[[#This Row],[Quantity]]</f>
        <v>100000</v>
      </c>
    </row>
    <row r="50" spans="1:7" x14ac:dyDescent="0.25">
      <c r="A50" s="15" t="s">
        <v>19</v>
      </c>
      <c r="B50" s="5">
        <v>45706</v>
      </c>
      <c r="C50" s="2" t="s">
        <v>13</v>
      </c>
      <c r="D50" s="2" t="s">
        <v>5</v>
      </c>
      <c r="E50" s="3">
        <v>1500</v>
      </c>
      <c r="F50" s="2">
        <v>4</v>
      </c>
      <c r="G50" s="6">
        <f>Table1[[#This Row],[Unit Price]]*Table1[[#This Row],[Quantity]]</f>
        <v>6000</v>
      </c>
    </row>
    <row r="51" spans="1:7" x14ac:dyDescent="0.25">
      <c r="A51" s="15" t="s">
        <v>19</v>
      </c>
      <c r="B51" s="5">
        <v>45707</v>
      </c>
      <c r="C51" s="2" t="s">
        <v>4</v>
      </c>
      <c r="D51" s="2" t="s">
        <v>5</v>
      </c>
      <c r="E51" s="3">
        <v>20000</v>
      </c>
      <c r="F51" s="2">
        <v>2</v>
      </c>
      <c r="G51" s="6">
        <f>Table1[[#This Row],[Unit Price]]*Table1[[#This Row],[Quantity]]</f>
        <v>40000</v>
      </c>
    </row>
    <row r="52" spans="1:7" x14ac:dyDescent="0.25">
      <c r="A52" s="15" t="s">
        <v>19</v>
      </c>
      <c r="B52" s="5">
        <v>45708</v>
      </c>
      <c r="C52" s="2" t="s">
        <v>12</v>
      </c>
      <c r="D52" s="2" t="s">
        <v>5</v>
      </c>
      <c r="E52" s="3">
        <v>15000</v>
      </c>
      <c r="F52" s="2">
        <v>5</v>
      </c>
      <c r="G52" s="6">
        <f>Table1[[#This Row],[Unit Price]]*Table1[[#This Row],[Quantity]]</f>
        <v>75000</v>
      </c>
    </row>
    <row r="53" spans="1:7" x14ac:dyDescent="0.25">
      <c r="A53" s="15" t="s">
        <v>19</v>
      </c>
      <c r="B53" s="5">
        <v>45709</v>
      </c>
      <c r="C53" s="2" t="s">
        <v>9</v>
      </c>
      <c r="D53" s="2" t="s">
        <v>11</v>
      </c>
      <c r="E53" s="3">
        <v>1000</v>
      </c>
      <c r="F53" s="2">
        <v>6</v>
      </c>
      <c r="G53" s="6">
        <f>Table1[[#This Row],[Unit Price]]*Table1[[#This Row],[Quantity]]</f>
        <v>6000</v>
      </c>
    </row>
    <row r="54" spans="1:7" x14ac:dyDescent="0.25">
      <c r="A54" s="15" t="s">
        <v>19</v>
      </c>
      <c r="B54" s="5">
        <v>45710</v>
      </c>
      <c r="C54" s="2" t="s">
        <v>12</v>
      </c>
      <c r="D54" s="2" t="s">
        <v>3</v>
      </c>
      <c r="E54" s="3">
        <v>15000</v>
      </c>
      <c r="F54" s="2">
        <v>5</v>
      </c>
      <c r="G54" s="6">
        <f>Table1[[#This Row],[Unit Price]]*Table1[[#This Row],[Quantity]]</f>
        <v>75000</v>
      </c>
    </row>
    <row r="55" spans="1:7" x14ac:dyDescent="0.25">
      <c r="A55" s="15" t="s">
        <v>19</v>
      </c>
      <c r="B55" s="5">
        <v>45711</v>
      </c>
      <c r="C55" s="2" t="s">
        <v>8</v>
      </c>
      <c r="D55" s="2" t="s">
        <v>7</v>
      </c>
      <c r="E55" s="3">
        <v>4000</v>
      </c>
      <c r="F55" s="2">
        <v>2</v>
      </c>
      <c r="G55" s="6">
        <f>Table1[[#This Row],[Unit Price]]*Table1[[#This Row],[Quantity]]</f>
        <v>8000</v>
      </c>
    </row>
    <row r="56" spans="1:7" x14ac:dyDescent="0.25">
      <c r="A56" s="15" t="s">
        <v>19</v>
      </c>
      <c r="B56" s="5">
        <v>45712</v>
      </c>
      <c r="C56" s="2" t="s">
        <v>10</v>
      </c>
      <c r="D56" s="2" t="s">
        <v>11</v>
      </c>
      <c r="E56" s="3">
        <v>3000</v>
      </c>
      <c r="F56" s="2">
        <v>10</v>
      </c>
      <c r="G56" s="6">
        <f>Table1[[#This Row],[Unit Price]]*Table1[[#This Row],[Quantity]]</f>
        <v>30000</v>
      </c>
    </row>
    <row r="57" spans="1:7" x14ac:dyDescent="0.25">
      <c r="A57" s="15" t="s">
        <v>19</v>
      </c>
      <c r="B57" s="5">
        <v>45713</v>
      </c>
      <c r="C57" s="2" t="s">
        <v>10</v>
      </c>
      <c r="D57" s="2" t="s">
        <v>3</v>
      </c>
      <c r="E57" s="3">
        <v>3000</v>
      </c>
      <c r="F57" s="2">
        <v>10</v>
      </c>
      <c r="G57" s="6">
        <f>Table1[[#This Row],[Unit Price]]*Table1[[#This Row],[Quantity]]</f>
        <v>30000</v>
      </c>
    </row>
    <row r="58" spans="1:7" x14ac:dyDescent="0.25">
      <c r="A58" s="15" t="s">
        <v>19</v>
      </c>
      <c r="B58" s="5">
        <v>45714</v>
      </c>
      <c r="C58" s="2" t="s">
        <v>9</v>
      </c>
      <c r="D58" s="2" t="s">
        <v>11</v>
      </c>
      <c r="E58" s="3">
        <v>1000</v>
      </c>
      <c r="F58" s="2">
        <v>10</v>
      </c>
      <c r="G58" s="6">
        <f>Table1[[#This Row],[Unit Price]]*Table1[[#This Row],[Quantity]]</f>
        <v>10000</v>
      </c>
    </row>
    <row r="59" spans="1:7" x14ac:dyDescent="0.25">
      <c r="A59" s="15" t="s">
        <v>19</v>
      </c>
      <c r="B59" s="5">
        <v>45715</v>
      </c>
      <c r="C59" s="2" t="s">
        <v>4</v>
      </c>
      <c r="D59" s="2" t="s">
        <v>5</v>
      </c>
      <c r="E59" s="3">
        <v>20000</v>
      </c>
      <c r="F59" s="2">
        <v>1</v>
      </c>
      <c r="G59" s="6">
        <f>Table1[[#This Row],[Unit Price]]*Table1[[#This Row],[Quantity]]</f>
        <v>20000</v>
      </c>
    </row>
    <row r="60" spans="1:7" x14ac:dyDescent="0.25">
      <c r="A60" s="15" t="s">
        <v>19</v>
      </c>
      <c r="B60" s="5">
        <v>45716</v>
      </c>
      <c r="C60" s="2" t="s">
        <v>10</v>
      </c>
      <c r="D60" s="2" t="s">
        <v>5</v>
      </c>
      <c r="E60" s="3">
        <v>3000</v>
      </c>
      <c r="F60" s="2">
        <v>3</v>
      </c>
      <c r="G60" s="6">
        <f>Table1[[#This Row],[Unit Price]]*Table1[[#This Row],[Quantity]]</f>
        <v>9000</v>
      </c>
    </row>
    <row r="61" spans="1:7" x14ac:dyDescent="0.25">
      <c r="A61" s="15" t="s">
        <v>20</v>
      </c>
      <c r="B61" s="5">
        <v>45717</v>
      </c>
      <c r="C61" s="2" t="s">
        <v>12</v>
      </c>
      <c r="D61" s="2" t="s">
        <v>11</v>
      </c>
      <c r="E61" s="3">
        <v>15000</v>
      </c>
      <c r="F61" s="2">
        <v>10</v>
      </c>
      <c r="G61" s="6">
        <f>Table1[[#This Row],[Unit Price]]*Table1[[#This Row],[Quantity]]</f>
        <v>150000</v>
      </c>
    </row>
    <row r="62" spans="1:7" x14ac:dyDescent="0.25">
      <c r="A62" s="15" t="s">
        <v>20</v>
      </c>
      <c r="B62" s="5">
        <v>45718</v>
      </c>
      <c r="C62" s="2" t="s">
        <v>12</v>
      </c>
      <c r="D62" s="2" t="s">
        <v>5</v>
      </c>
      <c r="E62" s="3">
        <v>15000</v>
      </c>
      <c r="F62" s="2">
        <v>2</v>
      </c>
      <c r="G62" s="6">
        <f>Table1[[#This Row],[Unit Price]]*Table1[[#This Row],[Quantity]]</f>
        <v>30000</v>
      </c>
    </row>
    <row r="63" spans="1:7" x14ac:dyDescent="0.25">
      <c r="A63" s="15" t="s">
        <v>20</v>
      </c>
      <c r="B63" s="5">
        <v>45719</v>
      </c>
      <c r="C63" s="2" t="s">
        <v>6</v>
      </c>
      <c r="D63" s="2" t="s">
        <v>3</v>
      </c>
      <c r="E63" s="3">
        <v>20000</v>
      </c>
      <c r="F63" s="2">
        <v>4</v>
      </c>
      <c r="G63" s="6">
        <f>Table1[[#This Row],[Unit Price]]*Table1[[#This Row],[Quantity]]</f>
        <v>80000</v>
      </c>
    </row>
    <row r="64" spans="1:7" x14ac:dyDescent="0.25">
      <c r="A64" s="15" t="s">
        <v>20</v>
      </c>
      <c r="B64" s="5">
        <v>45720</v>
      </c>
      <c r="C64" s="2" t="s">
        <v>9</v>
      </c>
      <c r="D64" s="2" t="s">
        <v>3</v>
      </c>
      <c r="E64" s="3">
        <v>1000</v>
      </c>
      <c r="F64" s="2">
        <v>20</v>
      </c>
      <c r="G64" s="6">
        <f>Table1[[#This Row],[Unit Price]]*Table1[[#This Row],[Quantity]]</f>
        <v>20000</v>
      </c>
    </row>
    <row r="65" spans="1:7" x14ac:dyDescent="0.25">
      <c r="A65" s="15" t="s">
        <v>20</v>
      </c>
      <c r="B65" s="5">
        <v>45721</v>
      </c>
      <c r="C65" s="2" t="s">
        <v>6</v>
      </c>
      <c r="D65" s="2" t="s">
        <v>5</v>
      </c>
      <c r="E65" s="3">
        <v>20000</v>
      </c>
      <c r="F65" s="2">
        <v>4</v>
      </c>
      <c r="G65" s="6">
        <f>Table1[[#This Row],[Unit Price]]*Table1[[#This Row],[Quantity]]</f>
        <v>80000</v>
      </c>
    </row>
    <row r="66" spans="1:7" x14ac:dyDescent="0.25">
      <c r="A66" s="15" t="s">
        <v>20</v>
      </c>
      <c r="B66" s="5">
        <v>45722</v>
      </c>
      <c r="C66" s="2" t="s">
        <v>4</v>
      </c>
      <c r="D66" s="2" t="s">
        <v>5</v>
      </c>
      <c r="E66" s="3">
        <v>20000</v>
      </c>
      <c r="F66" s="2">
        <v>7</v>
      </c>
      <c r="G66" s="6">
        <f>Table1[[#This Row],[Unit Price]]*Table1[[#This Row],[Quantity]]</f>
        <v>140000</v>
      </c>
    </row>
    <row r="67" spans="1:7" x14ac:dyDescent="0.25">
      <c r="A67" s="15" t="s">
        <v>20</v>
      </c>
      <c r="B67" s="5">
        <v>45723</v>
      </c>
      <c r="C67" s="2" t="s">
        <v>4</v>
      </c>
      <c r="D67" s="2" t="s">
        <v>11</v>
      </c>
      <c r="E67" s="3">
        <v>20000</v>
      </c>
      <c r="F67" s="2">
        <v>9</v>
      </c>
      <c r="G67" s="6">
        <f>Table1[[#This Row],[Unit Price]]*Table1[[#This Row],[Quantity]]</f>
        <v>180000</v>
      </c>
    </row>
    <row r="68" spans="1:7" x14ac:dyDescent="0.25">
      <c r="A68" s="15" t="s">
        <v>20</v>
      </c>
      <c r="B68" s="5">
        <v>45724</v>
      </c>
      <c r="C68" s="2" t="s">
        <v>6</v>
      </c>
      <c r="D68" s="2" t="s">
        <v>5</v>
      </c>
      <c r="E68" s="3">
        <v>20000</v>
      </c>
      <c r="F68" s="2">
        <v>3</v>
      </c>
      <c r="G68" s="6">
        <f>Table1[[#This Row],[Unit Price]]*Table1[[#This Row],[Quantity]]</f>
        <v>60000</v>
      </c>
    </row>
    <row r="69" spans="1:7" x14ac:dyDescent="0.25">
      <c r="A69" s="15" t="s">
        <v>20</v>
      </c>
      <c r="B69" s="5">
        <v>45725</v>
      </c>
      <c r="C69" s="2" t="s">
        <v>9</v>
      </c>
      <c r="D69" s="2" t="s">
        <v>5</v>
      </c>
      <c r="E69" s="3">
        <v>1000</v>
      </c>
      <c r="F69" s="2">
        <v>25</v>
      </c>
      <c r="G69" s="6">
        <f>Table1[[#This Row],[Unit Price]]*Table1[[#This Row],[Quantity]]</f>
        <v>25000</v>
      </c>
    </row>
    <row r="70" spans="1:7" x14ac:dyDescent="0.25">
      <c r="A70" s="15" t="s">
        <v>20</v>
      </c>
      <c r="B70" s="5">
        <v>45726</v>
      </c>
      <c r="C70" s="2" t="s">
        <v>8</v>
      </c>
      <c r="D70" s="2" t="s">
        <v>5</v>
      </c>
      <c r="E70" s="3">
        <v>4000</v>
      </c>
      <c r="F70" s="2">
        <v>3</v>
      </c>
      <c r="G70" s="6">
        <f>Table1[[#This Row],[Unit Price]]*Table1[[#This Row],[Quantity]]</f>
        <v>12000</v>
      </c>
    </row>
    <row r="71" spans="1:7" x14ac:dyDescent="0.25">
      <c r="A71" s="15" t="s">
        <v>20</v>
      </c>
      <c r="B71" s="5">
        <v>45727</v>
      </c>
      <c r="C71" s="2" t="s">
        <v>9</v>
      </c>
      <c r="D71" s="2" t="s">
        <v>5</v>
      </c>
      <c r="E71" s="3">
        <v>1000</v>
      </c>
      <c r="F71" s="2">
        <v>12</v>
      </c>
      <c r="G71" s="6">
        <f>Table1[[#This Row],[Unit Price]]*Table1[[#This Row],[Quantity]]</f>
        <v>12000</v>
      </c>
    </row>
    <row r="72" spans="1:7" x14ac:dyDescent="0.25">
      <c r="A72" s="15" t="s">
        <v>20</v>
      </c>
      <c r="B72" s="5">
        <v>45728</v>
      </c>
      <c r="C72" s="2" t="s">
        <v>10</v>
      </c>
      <c r="D72" s="2" t="s">
        <v>5</v>
      </c>
      <c r="E72" s="3">
        <v>3000</v>
      </c>
      <c r="F72" s="2">
        <v>6</v>
      </c>
      <c r="G72" s="6">
        <f>Table1[[#This Row],[Unit Price]]*Table1[[#This Row],[Quantity]]</f>
        <v>18000</v>
      </c>
    </row>
    <row r="73" spans="1:7" x14ac:dyDescent="0.25">
      <c r="A73" s="15" t="s">
        <v>20</v>
      </c>
      <c r="B73" s="5">
        <v>45729</v>
      </c>
      <c r="C73" s="2" t="s">
        <v>12</v>
      </c>
      <c r="D73" s="2" t="s">
        <v>11</v>
      </c>
      <c r="E73" s="3">
        <v>15000</v>
      </c>
      <c r="F73" s="2">
        <v>2</v>
      </c>
      <c r="G73" s="6">
        <f>Table1[[#This Row],[Unit Price]]*Table1[[#This Row],[Quantity]]</f>
        <v>30000</v>
      </c>
    </row>
    <row r="74" spans="1:7" x14ac:dyDescent="0.25">
      <c r="A74" s="15" t="s">
        <v>20</v>
      </c>
      <c r="B74" s="5">
        <v>45730</v>
      </c>
      <c r="C74" s="2" t="s">
        <v>9</v>
      </c>
      <c r="D74" s="2" t="s">
        <v>5</v>
      </c>
      <c r="E74" s="3">
        <v>1000</v>
      </c>
      <c r="F74" s="2">
        <v>4</v>
      </c>
      <c r="G74" s="6">
        <f>Table1[[#This Row],[Unit Price]]*Table1[[#This Row],[Quantity]]</f>
        <v>4000</v>
      </c>
    </row>
    <row r="75" spans="1:7" x14ac:dyDescent="0.25">
      <c r="A75" s="15" t="s">
        <v>20</v>
      </c>
      <c r="B75" s="5">
        <v>45731</v>
      </c>
      <c r="C75" s="2" t="s">
        <v>6</v>
      </c>
      <c r="D75" s="2" t="s">
        <v>7</v>
      </c>
      <c r="E75" s="3">
        <v>20000</v>
      </c>
      <c r="F75" s="2">
        <v>3</v>
      </c>
      <c r="G75" s="6">
        <f>Table1[[#This Row],[Unit Price]]*Table1[[#This Row],[Quantity]]</f>
        <v>60000</v>
      </c>
    </row>
    <row r="76" spans="1:7" x14ac:dyDescent="0.25">
      <c r="A76" s="15" t="s">
        <v>20</v>
      </c>
      <c r="B76" s="5">
        <v>45732</v>
      </c>
      <c r="C76" s="2" t="s">
        <v>10</v>
      </c>
      <c r="D76" s="2" t="s">
        <v>11</v>
      </c>
      <c r="E76" s="3">
        <v>3000</v>
      </c>
      <c r="F76" s="2">
        <v>3</v>
      </c>
      <c r="G76" s="6">
        <f>Table1[[#This Row],[Unit Price]]*Table1[[#This Row],[Quantity]]</f>
        <v>9000</v>
      </c>
    </row>
    <row r="77" spans="1:7" x14ac:dyDescent="0.25">
      <c r="A77" s="15" t="s">
        <v>20</v>
      </c>
      <c r="B77" s="5">
        <v>45733</v>
      </c>
      <c r="C77" s="2" t="s">
        <v>12</v>
      </c>
      <c r="D77" s="2" t="s">
        <v>3</v>
      </c>
      <c r="E77" s="3">
        <v>15000</v>
      </c>
      <c r="F77" s="2">
        <v>5</v>
      </c>
      <c r="G77" s="6">
        <f>Table1[[#This Row],[Unit Price]]*Table1[[#This Row],[Quantity]]</f>
        <v>75000</v>
      </c>
    </row>
    <row r="78" spans="1:7" x14ac:dyDescent="0.25">
      <c r="A78" s="15" t="s">
        <v>20</v>
      </c>
      <c r="B78" s="5">
        <v>45734</v>
      </c>
      <c r="C78" s="2" t="s">
        <v>12</v>
      </c>
      <c r="D78" s="2" t="s">
        <v>3</v>
      </c>
      <c r="E78" s="3">
        <v>15000</v>
      </c>
      <c r="F78" s="2">
        <v>5</v>
      </c>
      <c r="G78" s="6">
        <f>Table1[[#This Row],[Unit Price]]*Table1[[#This Row],[Quantity]]</f>
        <v>75000</v>
      </c>
    </row>
    <row r="79" spans="1:7" x14ac:dyDescent="0.25">
      <c r="A79" s="15" t="s">
        <v>20</v>
      </c>
      <c r="B79" s="5">
        <v>45735</v>
      </c>
      <c r="C79" s="2" t="s">
        <v>8</v>
      </c>
      <c r="D79" s="2" t="s">
        <v>5</v>
      </c>
      <c r="E79" s="3">
        <v>4000</v>
      </c>
      <c r="F79" s="2">
        <v>8</v>
      </c>
      <c r="G79" s="6">
        <f>Table1[[#This Row],[Unit Price]]*Table1[[#This Row],[Quantity]]</f>
        <v>32000</v>
      </c>
    </row>
    <row r="80" spans="1:7" x14ac:dyDescent="0.25">
      <c r="A80" s="15" t="s">
        <v>20</v>
      </c>
      <c r="B80" s="5">
        <v>45736</v>
      </c>
      <c r="C80" s="2" t="s">
        <v>10</v>
      </c>
      <c r="D80" s="2" t="s">
        <v>5</v>
      </c>
      <c r="E80" s="3">
        <v>3000</v>
      </c>
      <c r="F80" s="2">
        <v>6</v>
      </c>
      <c r="G80" s="6">
        <f>Table1[[#This Row],[Unit Price]]*Table1[[#This Row],[Quantity]]</f>
        <v>18000</v>
      </c>
    </row>
    <row r="81" spans="1:7" x14ac:dyDescent="0.25">
      <c r="A81" s="15" t="s">
        <v>20</v>
      </c>
      <c r="B81" s="5">
        <v>45737</v>
      </c>
      <c r="C81" s="2" t="s">
        <v>12</v>
      </c>
      <c r="D81" s="2" t="s">
        <v>3</v>
      </c>
      <c r="E81" s="3">
        <v>15000</v>
      </c>
      <c r="F81" s="2">
        <v>10</v>
      </c>
      <c r="G81" s="6">
        <f>Table1[[#This Row],[Unit Price]]*Table1[[#This Row],[Quantity]]</f>
        <v>150000</v>
      </c>
    </row>
    <row r="82" spans="1:7" x14ac:dyDescent="0.25">
      <c r="A82" s="15" t="s">
        <v>20</v>
      </c>
      <c r="B82" s="5">
        <v>45738</v>
      </c>
      <c r="C82" s="2" t="s">
        <v>8</v>
      </c>
      <c r="D82" s="2" t="s">
        <v>3</v>
      </c>
      <c r="E82" s="3">
        <v>4000</v>
      </c>
      <c r="F82" s="2">
        <v>9</v>
      </c>
      <c r="G82" s="6">
        <f>Table1[[#This Row],[Unit Price]]*Table1[[#This Row],[Quantity]]</f>
        <v>36000</v>
      </c>
    </row>
    <row r="83" spans="1:7" x14ac:dyDescent="0.25">
      <c r="A83" s="15" t="s">
        <v>20</v>
      </c>
      <c r="B83" s="5">
        <v>45739</v>
      </c>
      <c r="C83" s="2" t="s">
        <v>6</v>
      </c>
      <c r="D83" s="2" t="s">
        <v>5</v>
      </c>
      <c r="E83" s="3">
        <v>20000</v>
      </c>
      <c r="F83" s="2">
        <v>7</v>
      </c>
      <c r="G83" s="6">
        <f>Table1[[#This Row],[Unit Price]]*Table1[[#This Row],[Quantity]]</f>
        <v>140000</v>
      </c>
    </row>
    <row r="84" spans="1:7" x14ac:dyDescent="0.25">
      <c r="A84" s="15" t="s">
        <v>20</v>
      </c>
      <c r="B84" s="5">
        <v>45740</v>
      </c>
      <c r="C84" s="2" t="s">
        <v>9</v>
      </c>
      <c r="D84" s="2" t="s">
        <v>5</v>
      </c>
      <c r="E84" s="3">
        <v>1000</v>
      </c>
      <c r="F84" s="2">
        <v>4</v>
      </c>
      <c r="G84" s="6">
        <f>Table1[[#This Row],[Unit Price]]*Table1[[#This Row],[Quantity]]</f>
        <v>4000</v>
      </c>
    </row>
    <row r="85" spans="1:7" x14ac:dyDescent="0.25">
      <c r="A85" s="15" t="s">
        <v>20</v>
      </c>
      <c r="B85" s="5">
        <v>45741</v>
      </c>
      <c r="C85" s="2" t="s">
        <v>6</v>
      </c>
      <c r="D85" s="2" t="s">
        <v>3</v>
      </c>
      <c r="E85" s="3">
        <v>20000</v>
      </c>
      <c r="F85" s="2">
        <v>10</v>
      </c>
      <c r="G85" s="6">
        <f>Table1[[#This Row],[Unit Price]]*Table1[[#This Row],[Quantity]]</f>
        <v>200000</v>
      </c>
    </row>
    <row r="86" spans="1:7" x14ac:dyDescent="0.25">
      <c r="A86" s="15" t="s">
        <v>20</v>
      </c>
      <c r="B86" s="5">
        <v>45742</v>
      </c>
      <c r="C86" s="2" t="s">
        <v>13</v>
      </c>
      <c r="D86" s="2" t="s">
        <v>3</v>
      </c>
      <c r="E86" s="3">
        <v>1500</v>
      </c>
      <c r="F86" s="2">
        <v>7</v>
      </c>
      <c r="G86" s="6">
        <f>Table1[[#This Row],[Unit Price]]*Table1[[#This Row],[Quantity]]</f>
        <v>10500</v>
      </c>
    </row>
    <row r="87" spans="1:7" x14ac:dyDescent="0.25">
      <c r="A87" s="15" t="s">
        <v>20</v>
      </c>
      <c r="B87" s="5">
        <v>45743</v>
      </c>
      <c r="C87" s="2" t="s">
        <v>6</v>
      </c>
      <c r="D87" s="2" t="s">
        <v>7</v>
      </c>
      <c r="E87" s="3">
        <v>20000</v>
      </c>
      <c r="F87" s="2">
        <v>5</v>
      </c>
      <c r="G87" s="6">
        <f>Table1[[#This Row],[Unit Price]]*Table1[[#This Row],[Quantity]]</f>
        <v>100000</v>
      </c>
    </row>
    <row r="88" spans="1:7" x14ac:dyDescent="0.25">
      <c r="A88" s="15" t="s">
        <v>20</v>
      </c>
      <c r="B88" s="5">
        <v>45744</v>
      </c>
      <c r="C88" s="2" t="s">
        <v>10</v>
      </c>
      <c r="D88" s="2" t="s">
        <v>3</v>
      </c>
      <c r="E88" s="3">
        <v>3000</v>
      </c>
      <c r="F88" s="2">
        <v>4</v>
      </c>
      <c r="G88" s="6">
        <f>Table1[[#This Row],[Unit Price]]*Table1[[#This Row],[Quantity]]</f>
        <v>12000</v>
      </c>
    </row>
    <row r="89" spans="1:7" x14ac:dyDescent="0.25">
      <c r="A89" s="15" t="s">
        <v>20</v>
      </c>
      <c r="B89" s="5">
        <v>45745</v>
      </c>
      <c r="C89" s="2" t="s">
        <v>10</v>
      </c>
      <c r="D89" s="2" t="s">
        <v>11</v>
      </c>
      <c r="E89" s="3">
        <v>3000</v>
      </c>
      <c r="F89" s="2">
        <v>4</v>
      </c>
      <c r="G89" s="6">
        <f>Table1[[#This Row],[Unit Price]]*Table1[[#This Row],[Quantity]]</f>
        <v>12000</v>
      </c>
    </row>
    <row r="90" spans="1:7" x14ac:dyDescent="0.25">
      <c r="A90" s="15" t="s">
        <v>20</v>
      </c>
      <c r="B90" s="5">
        <v>45746</v>
      </c>
      <c r="C90" s="2" t="s">
        <v>8</v>
      </c>
      <c r="D90" s="2" t="s">
        <v>3</v>
      </c>
      <c r="E90" s="3">
        <v>4000</v>
      </c>
      <c r="F90" s="2">
        <v>6</v>
      </c>
      <c r="G90" s="6">
        <f>Table1[[#This Row],[Unit Price]]*Table1[[#This Row],[Quantity]]</f>
        <v>24000</v>
      </c>
    </row>
    <row r="91" spans="1:7" x14ac:dyDescent="0.25">
      <c r="A91" s="15" t="s">
        <v>20</v>
      </c>
      <c r="B91" s="5">
        <v>45747</v>
      </c>
      <c r="C91" s="2" t="s">
        <v>9</v>
      </c>
      <c r="D91" s="2" t="s">
        <v>3</v>
      </c>
      <c r="E91" s="3">
        <v>1000</v>
      </c>
      <c r="F91" s="2">
        <v>8</v>
      </c>
      <c r="G91" s="6">
        <f>Table1[[#This Row],[Unit Price]]*Table1[[#This Row],[Quantity]]</f>
        <v>8000</v>
      </c>
    </row>
    <row r="92" spans="1:7" x14ac:dyDescent="0.25">
      <c r="A92" s="15" t="s">
        <v>21</v>
      </c>
      <c r="B92" s="5">
        <v>45748</v>
      </c>
      <c r="C92" s="2" t="s">
        <v>12</v>
      </c>
      <c r="D92" s="2" t="s">
        <v>3</v>
      </c>
      <c r="E92" s="3">
        <v>15000</v>
      </c>
      <c r="F92" s="2">
        <v>20</v>
      </c>
      <c r="G92" s="6">
        <f>Table1[[#This Row],[Unit Price]]*Table1[[#This Row],[Quantity]]</f>
        <v>300000</v>
      </c>
    </row>
    <row r="93" spans="1:7" x14ac:dyDescent="0.25">
      <c r="A93" s="15" t="s">
        <v>21</v>
      </c>
      <c r="B93" s="5">
        <v>45749</v>
      </c>
      <c r="C93" s="2" t="s">
        <v>4</v>
      </c>
      <c r="D93" s="2" t="s">
        <v>3</v>
      </c>
      <c r="E93" s="3">
        <v>20000</v>
      </c>
      <c r="F93" s="2">
        <v>1</v>
      </c>
      <c r="G93" s="6">
        <f>Table1[[#This Row],[Unit Price]]*Table1[[#This Row],[Quantity]]</f>
        <v>20000</v>
      </c>
    </row>
    <row r="94" spans="1:7" x14ac:dyDescent="0.25">
      <c r="A94" s="15" t="s">
        <v>21</v>
      </c>
      <c r="B94" s="5">
        <v>45750</v>
      </c>
      <c r="C94" s="2" t="s">
        <v>12</v>
      </c>
      <c r="D94" s="2" t="s">
        <v>5</v>
      </c>
      <c r="E94" s="3">
        <v>15000</v>
      </c>
      <c r="F94" s="2">
        <v>3</v>
      </c>
      <c r="G94" s="6">
        <f>Table1[[#This Row],[Unit Price]]*Table1[[#This Row],[Quantity]]</f>
        <v>45000</v>
      </c>
    </row>
    <row r="95" spans="1:7" x14ac:dyDescent="0.25">
      <c r="A95" s="15" t="s">
        <v>21</v>
      </c>
      <c r="B95" s="5">
        <v>45751</v>
      </c>
      <c r="C95" s="2" t="s">
        <v>4</v>
      </c>
      <c r="D95" s="2" t="s">
        <v>7</v>
      </c>
      <c r="E95" s="3">
        <v>20000</v>
      </c>
      <c r="F95" s="2">
        <v>10</v>
      </c>
      <c r="G95" s="6">
        <f>Table1[[#This Row],[Unit Price]]*Table1[[#This Row],[Quantity]]</f>
        <v>200000</v>
      </c>
    </row>
    <row r="96" spans="1:7" x14ac:dyDescent="0.25">
      <c r="A96" s="15" t="s">
        <v>21</v>
      </c>
      <c r="B96" s="5">
        <v>45752</v>
      </c>
      <c r="C96" s="2" t="s">
        <v>4</v>
      </c>
      <c r="D96" s="2" t="s">
        <v>11</v>
      </c>
      <c r="E96" s="3">
        <v>20000</v>
      </c>
      <c r="F96" s="2">
        <v>5</v>
      </c>
      <c r="G96" s="6">
        <f>Table1[[#This Row],[Unit Price]]*Table1[[#This Row],[Quantity]]</f>
        <v>100000</v>
      </c>
    </row>
    <row r="97" spans="1:7" x14ac:dyDescent="0.25">
      <c r="A97" s="15" t="s">
        <v>21</v>
      </c>
      <c r="B97" s="5">
        <v>45753</v>
      </c>
      <c r="C97" s="2" t="s">
        <v>10</v>
      </c>
      <c r="D97" s="2" t="s">
        <v>7</v>
      </c>
      <c r="E97" s="3">
        <v>3000</v>
      </c>
      <c r="F97" s="2">
        <v>2</v>
      </c>
      <c r="G97" s="6">
        <f>Table1[[#This Row],[Unit Price]]*Table1[[#This Row],[Quantity]]</f>
        <v>6000</v>
      </c>
    </row>
    <row r="98" spans="1:7" x14ac:dyDescent="0.25">
      <c r="A98" s="15" t="s">
        <v>21</v>
      </c>
      <c r="B98" s="5">
        <v>45754</v>
      </c>
      <c r="C98" s="2" t="s">
        <v>8</v>
      </c>
      <c r="D98" s="2" t="s">
        <v>7</v>
      </c>
      <c r="E98" s="3">
        <v>4000</v>
      </c>
      <c r="F98" s="2">
        <v>7</v>
      </c>
      <c r="G98" s="6">
        <f>Table1[[#This Row],[Unit Price]]*Table1[[#This Row],[Quantity]]</f>
        <v>28000</v>
      </c>
    </row>
    <row r="99" spans="1:7" x14ac:dyDescent="0.25">
      <c r="A99" s="15" t="s">
        <v>21</v>
      </c>
      <c r="B99" s="5">
        <v>45755</v>
      </c>
      <c r="C99" s="2" t="s">
        <v>9</v>
      </c>
      <c r="D99" s="2" t="s">
        <v>7</v>
      </c>
      <c r="E99" s="3">
        <v>1000</v>
      </c>
      <c r="F99" s="2">
        <v>8</v>
      </c>
      <c r="G99" s="6">
        <f>Table1[[#This Row],[Unit Price]]*Table1[[#This Row],[Quantity]]</f>
        <v>8000</v>
      </c>
    </row>
    <row r="100" spans="1:7" x14ac:dyDescent="0.25">
      <c r="A100" s="15" t="s">
        <v>21</v>
      </c>
      <c r="B100" s="5">
        <v>45756</v>
      </c>
      <c r="C100" s="2" t="s">
        <v>8</v>
      </c>
      <c r="D100" s="2" t="s">
        <v>3</v>
      </c>
      <c r="E100" s="3">
        <v>4000</v>
      </c>
      <c r="F100" s="2">
        <v>12</v>
      </c>
      <c r="G100" s="6">
        <f>Table1[[#This Row],[Unit Price]]*Table1[[#This Row],[Quantity]]</f>
        <v>48000</v>
      </c>
    </row>
    <row r="101" spans="1:7" x14ac:dyDescent="0.25">
      <c r="A101" s="15" t="s">
        <v>21</v>
      </c>
      <c r="B101" s="5">
        <v>45757</v>
      </c>
      <c r="C101" s="2" t="s">
        <v>4</v>
      </c>
      <c r="D101" s="2" t="s">
        <v>11</v>
      </c>
      <c r="E101" s="3">
        <v>20000</v>
      </c>
      <c r="F101" s="2">
        <v>5</v>
      </c>
      <c r="G101" s="6">
        <f>Table1[[#This Row],[Unit Price]]*Table1[[#This Row],[Quantity]]</f>
        <v>100000</v>
      </c>
    </row>
    <row r="102" spans="1:7" x14ac:dyDescent="0.25">
      <c r="A102" s="15" t="s">
        <v>21</v>
      </c>
      <c r="B102" s="5">
        <v>45758</v>
      </c>
      <c r="C102" s="2" t="s">
        <v>13</v>
      </c>
      <c r="D102" s="2" t="s">
        <v>11</v>
      </c>
      <c r="E102" s="3">
        <v>1500</v>
      </c>
      <c r="F102" s="2">
        <v>10</v>
      </c>
      <c r="G102" s="6">
        <f>Table1[[#This Row],[Unit Price]]*Table1[[#This Row],[Quantity]]</f>
        <v>15000</v>
      </c>
    </row>
    <row r="103" spans="1:7" x14ac:dyDescent="0.25">
      <c r="A103" s="15" t="s">
        <v>21</v>
      </c>
      <c r="B103" s="5">
        <v>45759</v>
      </c>
      <c r="C103" s="2" t="s">
        <v>10</v>
      </c>
      <c r="D103" s="2" t="s">
        <v>11</v>
      </c>
      <c r="E103" s="3">
        <v>3000</v>
      </c>
      <c r="F103" s="2">
        <v>2</v>
      </c>
      <c r="G103" s="6">
        <f>Table1[[#This Row],[Unit Price]]*Table1[[#This Row],[Quantity]]</f>
        <v>6000</v>
      </c>
    </row>
    <row r="104" spans="1:7" x14ac:dyDescent="0.25">
      <c r="A104" s="15" t="s">
        <v>21</v>
      </c>
      <c r="B104" s="5">
        <v>45760</v>
      </c>
      <c r="C104" s="2" t="s">
        <v>9</v>
      </c>
      <c r="D104" s="2" t="s">
        <v>11</v>
      </c>
      <c r="E104" s="3">
        <v>1000</v>
      </c>
      <c r="F104" s="2">
        <v>1</v>
      </c>
      <c r="G104" s="6">
        <f>Table1[[#This Row],[Unit Price]]*Table1[[#This Row],[Quantity]]</f>
        <v>1000</v>
      </c>
    </row>
    <row r="105" spans="1:7" x14ac:dyDescent="0.25">
      <c r="A105" s="15" t="s">
        <v>21</v>
      </c>
      <c r="B105" s="5">
        <v>45761</v>
      </c>
      <c r="C105" s="2" t="s">
        <v>4</v>
      </c>
      <c r="D105" s="2" t="s">
        <v>11</v>
      </c>
      <c r="E105" s="3">
        <v>20000</v>
      </c>
      <c r="F105" s="2">
        <v>2</v>
      </c>
      <c r="G105" s="6">
        <f>Table1[[#This Row],[Unit Price]]*Table1[[#This Row],[Quantity]]</f>
        <v>40000</v>
      </c>
    </row>
    <row r="106" spans="1:7" x14ac:dyDescent="0.25">
      <c r="A106" s="15" t="s">
        <v>21</v>
      </c>
      <c r="B106" s="5">
        <v>45762</v>
      </c>
      <c r="C106" s="2" t="s">
        <v>6</v>
      </c>
      <c r="D106" s="2" t="s">
        <v>7</v>
      </c>
      <c r="E106" s="3">
        <v>20000</v>
      </c>
      <c r="F106" s="2">
        <v>5</v>
      </c>
      <c r="G106" s="6">
        <f>Table1[[#This Row],[Unit Price]]*Table1[[#This Row],[Quantity]]</f>
        <v>100000</v>
      </c>
    </row>
    <row r="107" spans="1:7" x14ac:dyDescent="0.25">
      <c r="A107" s="15" t="s">
        <v>21</v>
      </c>
      <c r="B107" s="5">
        <v>45763</v>
      </c>
      <c r="C107" s="2" t="s">
        <v>4</v>
      </c>
      <c r="D107" s="2" t="s">
        <v>7</v>
      </c>
      <c r="E107" s="3">
        <v>20000</v>
      </c>
      <c r="F107" s="2">
        <v>6</v>
      </c>
      <c r="G107" s="6">
        <f>Table1[[#This Row],[Unit Price]]*Table1[[#This Row],[Quantity]]</f>
        <v>120000</v>
      </c>
    </row>
    <row r="108" spans="1:7" x14ac:dyDescent="0.25">
      <c r="A108" s="15" t="s">
        <v>21</v>
      </c>
      <c r="B108" s="5">
        <v>45764</v>
      </c>
      <c r="C108" s="2" t="s">
        <v>13</v>
      </c>
      <c r="D108" s="2" t="s">
        <v>11</v>
      </c>
      <c r="E108" s="3">
        <v>1500</v>
      </c>
      <c r="F108" s="2">
        <v>2</v>
      </c>
      <c r="G108" s="6">
        <f>Table1[[#This Row],[Unit Price]]*Table1[[#This Row],[Quantity]]</f>
        <v>3000</v>
      </c>
    </row>
    <row r="109" spans="1:7" x14ac:dyDescent="0.25">
      <c r="A109" s="15" t="s">
        <v>21</v>
      </c>
      <c r="B109" s="5">
        <v>45765</v>
      </c>
      <c r="C109" s="2" t="s">
        <v>10</v>
      </c>
      <c r="D109" s="2" t="s">
        <v>3</v>
      </c>
      <c r="E109" s="3">
        <v>3000</v>
      </c>
      <c r="F109" s="2">
        <v>5</v>
      </c>
      <c r="G109" s="6">
        <f>Table1[[#This Row],[Unit Price]]*Table1[[#This Row],[Quantity]]</f>
        <v>15000</v>
      </c>
    </row>
    <row r="110" spans="1:7" x14ac:dyDescent="0.25">
      <c r="A110" s="15" t="s">
        <v>21</v>
      </c>
      <c r="B110" s="5">
        <v>45766</v>
      </c>
      <c r="C110" s="2" t="s">
        <v>8</v>
      </c>
      <c r="D110" s="2" t="s">
        <v>7</v>
      </c>
      <c r="E110" s="3">
        <v>4000</v>
      </c>
      <c r="F110" s="2">
        <v>3</v>
      </c>
      <c r="G110" s="6">
        <f>Table1[[#This Row],[Unit Price]]*Table1[[#This Row],[Quantity]]</f>
        <v>12000</v>
      </c>
    </row>
    <row r="111" spans="1:7" x14ac:dyDescent="0.25">
      <c r="A111" s="15" t="s">
        <v>21</v>
      </c>
      <c r="B111" s="5">
        <v>45767</v>
      </c>
      <c r="C111" s="2" t="s">
        <v>10</v>
      </c>
      <c r="D111" s="2" t="s">
        <v>3</v>
      </c>
      <c r="E111" s="3">
        <v>3000</v>
      </c>
      <c r="F111" s="2">
        <v>5</v>
      </c>
      <c r="G111" s="6">
        <f>Table1[[#This Row],[Unit Price]]*Table1[[#This Row],[Quantity]]</f>
        <v>15000</v>
      </c>
    </row>
    <row r="112" spans="1:7" x14ac:dyDescent="0.25">
      <c r="A112" s="15" t="s">
        <v>21</v>
      </c>
      <c r="B112" s="5">
        <v>45768</v>
      </c>
      <c r="C112" s="2" t="s">
        <v>10</v>
      </c>
      <c r="D112" s="2" t="s">
        <v>11</v>
      </c>
      <c r="E112" s="3">
        <v>3000</v>
      </c>
      <c r="F112" s="2">
        <v>5</v>
      </c>
      <c r="G112" s="6">
        <f>Table1[[#This Row],[Unit Price]]*Table1[[#This Row],[Quantity]]</f>
        <v>15000</v>
      </c>
    </row>
    <row r="113" spans="1:7" x14ac:dyDescent="0.25">
      <c r="A113" s="15" t="s">
        <v>21</v>
      </c>
      <c r="B113" s="5">
        <v>45769</v>
      </c>
      <c r="C113" s="2" t="s">
        <v>13</v>
      </c>
      <c r="D113" s="2" t="s">
        <v>11</v>
      </c>
      <c r="E113" s="3">
        <v>1500</v>
      </c>
      <c r="F113" s="2">
        <v>2</v>
      </c>
      <c r="G113" s="6">
        <f>Table1[[#This Row],[Unit Price]]*Table1[[#This Row],[Quantity]]</f>
        <v>3000</v>
      </c>
    </row>
    <row r="114" spans="1:7" x14ac:dyDescent="0.25">
      <c r="A114" s="15" t="s">
        <v>21</v>
      </c>
      <c r="B114" s="5">
        <v>45770</v>
      </c>
      <c r="C114" s="2" t="s">
        <v>13</v>
      </c>
      <c r="D114" s="2" t="s">
        <v>3</v>
      </c>
      <c r="E114" s="3">
        <v>1500</v>
      </c>
      <c r="F114" s="2">
        <v>3</v>
      </c>
      <c r="G114" s="6">
        <f>Table1[[#This Row],[Unit Price]]*Table1[[#This Row],[Quantity]]</f>
        <v>4500</v>
      </c>
    </row>
    <row r="115" spans="1:7" x14ac:dyDescent="0.25">
      <c r="A115" s="15" t="s">
        <v>21</v>
      </c>
      <c r="B115" s="5">
        <v>45771</v>
      </c>
      <c r="C115" s="2" t="s">
        <v>9</v>
      </c>
      <c r="D115" s="2" t="s">
        <v>3</v>
      </c>
      <c r="E115" s="3">
        <v>1000</v>
      </c>
      <c r="F115" s="2">
        <v>2</v>
      </c>
      <c r="G115" s="6">
        <f>Table1[[#This Row],[Unit Price]]*Table1[[#This Row],[Quantity]]</f>
        <v>2000</v>
      </c>
    </row>
    <row r="116" spans="1:7" x14ac:dyDescent="0.25">
      <c r="A116" s="15" t="s">
        <v>21</v>
      </c>
      <c r="B116" s="5">
        <v>45772</v>
      </c>
      <c r="C116" s="2" t="s">
        <v>13</v>
      </c>
      <c r="D116" s="2" t="s">
        <v>7</v>
      </c>
      <c r="E116" s="3">
        <v>1500</v>
      </c>
      <c r="F116" s="2">
        <v>1</v>
      </c>
      <c r="G116" s="6">
        <f>Table1[[#This Row],[Unit Price]]*Table1[[#This Row],[Quantity]]</f>
        <v>1500</v>
      </c>
    </row>
    <row r="117" spans="1:7" x14ac:dyDescent="0.25">
      <c r="A117" s="15" t="s">
        <v>21</v>
      </c>
      <c r="B117" s="5">
        <v>45773</v>
      </c>
      <c r="C117" s="2" t="s">
        <v>12</v>
      </c>
      <c r="D117" s="2" t="s">
        <v>5</v>
      </c>
      <c r="E117" s="3">
        <v>15000</v>
      </c>
      <c r="F117" s="2">
        <v>3</v>
      </c>
      <c r="G117" s="6">
        <f>Table1[[#This Row],[Unit Price]]*Table1[[#This Row],[Quantity]]</f>
        <v>45000</v>
      </c>
    </row>
    <row r="118" spans="1:7" x14ac:dyDescent="0.25">
      <c r="A118" s="15" t="s">
        <v>21</v>
      </c>
      <c r="B118" s="5">
        <v>45774</v>
      </c>
      <c r="C118" s="2" t="s">
        <v>12</v>
      </c>
      <c r="D118" s="2" t="s">
        <v>5</v>
      </c>
      <c r="E118" s="3">
        <v>15000</v>
      </c>
      <c r="F118" s="2">
        <v>1</v>
      </c>
      <c r="G118" s="6">
        <f>Table1[[#This Row],[Unit Price]]*Table1[[#This Row],[Quantity]]</f>
        <v>15000</v>
      </c>
    </row>
    <row r="119" spans="1:7" x14ac:dyDescent="0.25">
      <c r="A119" s="15" t="s">
        <v>21</v>
      </c>
      <c r="B119" s="5">
        <v>45775</v>
      </c>
      <c r="C119" s="2" t="s">
        <v>9</v>
      </c>
      <c r="D119" s="2" t="s">
        <v>11</v>
      </c>
      <c r="E119" s="3">
        <v>1000</v>
      </c>
      <c r="F119" s="2">
        <v>2</v>
      </c>
      <c r="G119" s="6">
        <f>Table1[[#This Row],[Unit Price]]*Table1[[#This Row],[Quantity]]</f>
        <v>2000</v>
      </c>
    </row>
    <row r="120" spans="1:7" x14ac:dyDescent="0.25">
      <c r="A120" s="15" t="s">
        <v>21</v>
      </c>
      <c r="B120" s="5">
        <v>45776</v>
      </c>
      <c r="C120" s="2" t="s">
        <v>12</v>
      </c>
      <c r="D120" s="2" t="s">
        <v>11</v>
      </c>
      <c r="E120" s="3">
        <v>15000</v>
      </c>
      <c r="F120" s="2">
        <v>2</v>
      </c>
      <c r="G120" s="6">
        <f>Table1[[#This Row],[Unit Price]]*Table1[[#This Row],[Quantity]]</f>
        <v>30000</v>
      </c>
    </row>
    <row r="121" spans="1:7" x14ac:dyDescent="0.25">
      <c r="A121" s="17" t="s">
        <v>21</v>
      </c>
      <c r="B121" s="11">
        <v>45777</v>
      </c>
      <c r="C121" s="12" t="s">
        <v>8</v>
      </c>
      <c r="D121" s="12" t="s">
        <v>3</v>
      </c>
      <c r="E121" s="13">
        <v>4000</v>
      </c>
      <c r="F121" s="12">
        <v>2</v>
      </c>
      <c r="G121" s="6">
        <f>Table1[[#This Row],[Unit Price]]*Table1[[#This Row],[Quantity]]</f>
        <v>8000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B3" sqref="B3"/>
    </sheetView>
  </sheetViews>
  <sheetFormatPr defaultRowHeight="15" x14ac:dyDescent="0.25"/>
  <cols>
    <col min="1" max="1" width="15.42578125" style="1" bestFit="1" customWidth="1"/>
    <col min="2" max="2" width="17" style="1" customWidth="1"/>
    <col min="3" max="3" width="7.140625" style="14" customWidth="1"/>
  </cols>
  <sheetData>
    <row r="1" spans="1:9" ht="53.25" customHeight="1" x14ac:dyDescent="0.25">
      <c r="A1" s="18" t="s">
        <v>28</v>
      </c>
      <c r="B1" s="18"/>
      <c r="C1" s="18"/>
      <c r="D1" s="18"/>
      <c r="E1" s="18"/>
      <c r="F1" s="18"/>
      <c r="G1" s="18"/>
      <c r="H1" s="18"/>
      <c r="I1" s="18"/>
    </row>
    <row r="2" spans="1:9" ht="27" customHeight="1" x14ac:dyDescent="0.25">
      <c r="A2" s="19" t="s">
        <v>22</v>
      </c>
      <c r="B2" s="19" t="s">
        <v>27</v>
      </c>
      <c r="C2" s="20"/>
      <c r="D2" s="21"/>
      <c r="E2" s="21"/>
      <c r="F2" s="21"/>
      <c r="G2" s="21"/>
      <c r="H2" s="21"/>
      <c r="I2" s="21"/>
    </row>
    <row r="3" spans="1:9" x14ac:dyDescent="0.25">
      <c r="A3" s="29" t="s">
        <v>24</v>
      </c>
      <c r="B3" s="23" t="s">
        <v>19</v>
      </c>
      <c r="C3" s="21"/>
      <c r="D3" s="21"/>
      <c r="E3" s="21"/>
      <c r="F3" s="21"/>
      <c r="G3" s="21"/>
      <c r="H3" s="21"/>
      <c r="I3" s="21"/>
    </row>
    <row r="4" spans="1:9" x14ac:dyDescent="0.25">
      <c r="A4" s="29" t="s">
        <v>2</v>
      </c>
      <c r="B4" s="23" t="s">
        <v>8</v>
      </c>
      <c r="C4" s="21"/>
      <c r="D4" s="21"/>
      <c r="E4" s="21"/>
      <c r="F4" s="21"/>
      <c r="G4" s="21"/>
      <c r="H4" s="21"/>
      <c r="I4" s="21"/>
    </row>
    <row r="5" spans="1:9" x14ac:dyDescent="0.25">
      <c r="A5" s="29" t="s">
        <v>25</v>
      </c>
      <c r="B5" s="23" t="s">
        <v>5</v>
      </c>
      <c r="C5" s="21"/>
      <c r="D5" s="21"/>
      <c r="E5" s="21"/>
      <c r="F5" s="21"/>
      <c r="G5" s="21"/>
      <c r="H5" s="21"/>
      <c r="I5" s="21"/>
    </row>
    <row r="6" spans="1:9" x14ac:dyDescent="0.25">
      <c r="A6" s="22"/>
      <c r="B6" s="23"/>
      <c r="C6" s="21"/>
      <c r="D6" s="21"/>
      <c r="E6" s="21"/>
      <c r="F6" s="21"/>
      <c r="G6" s="21"/>
      <c r="H6" s="21"/>
      <c r="I6" s="21"/>
    </row>
    <row r="7" spans="1:9" ht="18.75" x14ac:dyDescent="0.25">
      <c r="A7" s="24" t="s">
        <v>23</v>
      </c>
      <c r="B7" s="25">
        <f>SUMIFS('Sales Data'!G:G,'Sales Data'!A:A,B3,'Sales Data'!C:C,B4,'Sales Data'!D:D,B5)</f>
        <v>128000</v>
      </c>
      <c r="C7" s="21"/>
      <c r="D7" s="21"/>
      <c r="E7" s="21"/>
      <c r="F7" s="21"/>
      <c r="G7" s="21"/>
      <c r="H7" s="21"/>
      <c r="I7" s="21"/>
    </row>
    <row r="8" spans="1:9" x14ac:dyDescent="0.25">
      <c r="A8" s="21"/>
      <c r="B8" s="26"/>
      <c r="C8" s="21"/>
      <c r="D8" s="21"/>
      <c r="E8" s="21"/>
      <c r="F8" s="21"/>
      <c r="G8" s="21"/>
      <c r="H8" s="21"/>
      <c r="I8" s="21"/>
    </row>
    <row r="9" spans="1:9" x14ac:dyDescent="0.25">
      <c r="A9" s="21"/>
      <c r="B9" s="26"/>
      <c r="C9" s="21"/>
      <c r="D9" s="21"/>
      <c r="E9" s="21"/>
      <c r="F9" s="21"/>
      <c r="G9" s="21"/>
      <c r="H9" s="21"/>
      <c r="I9" s="21"/>
    </row>
    <row r="10" spans="1:9" x14ac:dyDescent="0.25">
      <c r="A10" s="21"/>
      <c r="B10" s="26"/>
      <c r="C10" s="21"/>
      <c r="D10" s="21"/>
      <c r="E10" s="21"/>
      <c r="F10" s="21"/>
      <c r="G10" s="21"/>
      <c r="H10" s="21"/>
      <c r="I10" s="21"/>
    </row>
    <row r="11" spans="1:9" ht="15.75" x14ac:dyDescent="0.25">
      <c r="A11" s="19" t="s">
        <v>17</v>
      </c>
      <c r="B11" s="19" t="s">
        <v>26</v>
      </c>
      <c r="C11" s="21"/>
      <c r="D11" s="21"/>
      <c r="E11" s="21"/>
      <c r="F11" s="21"/>
      <c r="G11" s="21"/>
      <c r="H11" s="21"/>
      <c r="I11" s="21"/>
    </row>
    <row r="12" spans="1:9" x14ac:dyDescent="0.25">
      <c r="A12" s="30" t="s">
        <v>18</v>
      </c>
      <c r="B12" s="27">
        <f>SUMIF('Sales Data'!A:A,A12,'Sales Data'!G:G)</f>
        <v>1034500</v>
      </c>
      <c r="C12" s="21"/>
      <c r="D12" s="21"/>
      <c r="E12" s="21"/>
      <c r="F12" s="21"/>
      <c r="G12" s="21"/>
      <c r="H12" s="21"/>
      <c r="I12" s="21"/>
    </row>
    <row r="13" spans="1:9" x14ac:dyDescent="0.25">
      <c r="A13" s="30" t="s">
        <v>19</v>
      </c>
      <c r="B13" s="27">
        <f>SUMIF('Sales Data'!A:A,A13,'Sales Data'!G:G)</f>
        <v>1125000</v>
      </c>
      <c r="C13" s="21"/>
      <c r="D13" s="21"/>
      <c r="E13" s="21"/>
      <c r="F13" s="21"/>
      <c r="G13" s="21"/>
      <c r="H13" s="21"/>
      <c r="I13" s="21"/>
    </row>
    <row r="14" spans="1:9" x14ac:dyDescent="0.25">
      <c r="A14" s="30" t="s">
        <v>20</v>
      </c>
      <c r="B14" s="27">
        <f>SUMIF('Sales Data'!A:A,A14,'Sales Data'!G:G)</f>
        <v>1806500</v>
      </c>
      <c r="C14" s="21"/>
      <c r="D14" s="21"/>
      <c r="E14" s="21"/>
      <c r="F14" s="21"/>
      <c r="G14" s="21"/>
      <c r="H14" s="21"/>
      <c r="I14" s="21"/>
    </row>
    <row r="15" spans="1:9" x14ac:dyDescent="0.25">
      <c r="A15" s="30" t="s">
        <v>21</v>
      </c>
      <c r="B15" s="27">
        <f>SUMIF('Sales Data'!A:A,A15,'Sales Data'!G:G)</f>
        <v>1308000</v>
      </c>
      <c r="C15" s="21"/>
      <c r="D15" s="21"/>
      <c r="E15" s="21"/>
      <c r="F15" s="21"/>
      <c r="G15" s="21"/>
      <c r="H15" s="21"/>
      <c r="I15" s="21"/>
    </row>
    <row r="16" spans="1:9" ht="18.75" x14ac:dyDescent="0.3">
      <c r="A16" s="28" t="s">
        <v>29</v>
      </c>
      <c r="B16" s="25">
        <f>SUM(B12:B15)</f>
        <v>5274000</v>
      </c>
      <c r="C16" s="21"/>
      <c r="D16" s="21"/>
      <c r="E16" s="21"/>
      <c r="F16" s="21"/>
      <c r="G16" s="21"/>
      <c r="H16" s="21"/>
      <c r="I16" s="21"/>
    </row>
    <row r="17" spans="1:3" x14ac:dyDescent="0.25">
      <c r="A17"/>
      <c r="C17"/>
    </row>
    <row r="18" spans="1:3" x14ac:dyDescent="0.25">
      <c r="A18"/>
      <c r="C18"/>
    </row>
    <row r="19" spans="1:3" x14ac:dyDescent="0.25">
      <c r="A19"/>
      <c r="C19"/>
    </row>
    <row r="20" spans="1:3" x14ac:dyDescent="0.25">
      <c r="A20"/>
      <c r="C20"/>
    </row>
    <row r="21" spans="1:3" x14ac:dyDescent="0.25">
      <c r="A21"/>
      <c r="C21"/>
    </row>
    <row r="22" spans="1:3" x14ac:dyDescent="0.25">
      <c r="A22"/>
      <c r="C22"/>
    </row>
    <row r="23" spans="1:3" x14ac:dyDescent="0.25">
      <c r="A23"/>
      <c r="C23"/>
    </row>
    <row r="24" spans="1:3" x14ac:dyDescent="0.25">
      <c r="A24"/>
      <c r="C24"/>
    </row>
    <row r="25" spans="1:3" x14ac:dyDescent="0.25">
      <c r="A25"/>
      <c r="C25"/>
    </row>
    <row r="26" spans="1:3" x14ac:dyDescent="0.25">
      <c r="A26"/>
      <c r="C26"/>
    </row>
    <row r="27" spans="1:3" x14ac:dyDescent="0.25">
      <c r="A27"/>
      <c r="C27"/>
    </row>
    <row r="28" spans="1:3" x14ac:dyDescent="0.25">
      <c r="A28"/>
      <c r="C28"/>
    </row>
    <row r="29" spans="1:3" x14ac:dyDescent="0.25">
      <c r="A29"/>
      <c r="C29"/>
    </row>
    <row r="30" spans="1:3" x14ac:dyDescent="0.25">
      <c r="A30"/>
      <c r="C30"/>
    </row>
    <row r="31" spans="1:3" x14ac:dyDescent="0.25">
      <c r="A31"/>
      <c r="C31"/>
    </row>
    <row r="32" spans="1:3" x14ac:dyDescent="0.25">
      <c r="A32"/>
      <c r="C32"/>
    </row>
    <row r="33" spans="1:3" x14ac:dyDescent="0.25">
      <c r="A33"/>
      <c r="C33"/>
    </row>
    <row r="34" spans="1:3" x14ac:dyDescent="0.25">
      <c r="A34"/>
      <c r="C34"/>
    </row>
    <row r="35" spans="1:3" x14ac:dyDescent="0.25">
      <c r="A35"/>
      <c r="C35"/>
    </row>
    <row r="36" spans="1:3" x14ac:dyDescent="0.25">
      <c r="A36"/>
      <c r="C36"/>
    </row>
    <row r="37" spans="1:3" x14ac:dyDescent="0.25">
      <c r="A37"/>
      <c r="C37"/>
    </row>
    <row r="38" spans="1:3" x14ac:dyDescent="0.25">
      <c r="A38"/>
      <c r="C38"/>
    </row>
    <row r="39" spans="1:3" x14ac:dyDescent="0.25">
      <c r="A39"/>
      <c r="C39"/>
    </row>
  </sheetData>
  <mergeCells count="1">
    <mergeCell ref="A1:I1"/>
  </mergeCells>
  <dataValidations count="1">
    <dataValidation type="list" allowBlank="1" showInputMessage="1" showErrorMessage="1" sqref="B3 A12:A15">
      <formula1>"Jan,Feb,March,April"</formula1>
    </dataValidation>
  </dataValidation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'Sales Data'!$C$2:$C$8</xm:f>
          </x14:formula1>
          <xm:sqref>A40:A1048576 B4</xm:sqref>
        </x14:dataValidation>
        <x14:dataValidation type="list" allowBlank="1" showInputMessage="1" showErrorMessage="1">
          <x14:formula1>
            <xm:f>'Sales Data'!$D$2:$D$6</xm:f>
          </x14:formula1>
          <xm:sqref>B40:B1048576</xm:sqref>
        </x14:dataValidation>
        <x14:dataValidation type="list" allowBlank="1" showInputMessage="1" showErrorMessage="1">
          <x14:formula1>
            <xm:f>'Sales Data'!$D$2:$D$5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Report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2025-12-30T10:34:59Z</dcterms:modified>
</cp:coreProperties>
</file>