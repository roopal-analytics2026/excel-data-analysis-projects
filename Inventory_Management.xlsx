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Inventory Data" sheetId="1" r:id="rId1"/>
    <sheet name="Summary Sheet" sheetId="2" r:id="rId2"/>
    <sheet name="Dashboard" sheetId="3" r:id="rId3"/>
  </sheets>
  <definedNames>
    <definedName name="_xlnm._FilterDatabase" localSheetId="0" hidden="1">'Inventory Data'!$C$1:$C$50</definedName>
  </definedNames>
  <calcPr calcId="152511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2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  <c r="A10" i="3" s="1" a="1"/>
  <c r="A10" i="3" s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3" i="2"/>
  <c r="B2" i="2"/>
  <c r="A8" i="3" a="1"/>
  <c r="A8" i="3" s="1"/>
  <c r="B8" i="3" s="1"/>
  <c r="A9" i="3" a="1"/>
  <c r="A9" i="3" s="1"/>
  <c r="B9" i="3" s="1"/>
  <c r="A11" i="3" a="1"/>
  <c r="A11" i="3" s="1"/>
  <c r="B11" i="3" s="1"/>
  <c r="A12" i="3" a="1"/>
  <c r="A12" i="3" s="1"/>
  <c r="B12" i="3" s="1"/>
  <c r="A13" i="3" a="1"/>
  <c r="A13" i="3" s="1"/>
  <c r="B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C21" i="3" s="1"/>
  <c r="A22" i="3" a="1"/>
  <c r="A22" i="3" s="1"/>
  <c r="B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6" i="3" a="1"/>
  <c r="A6" i="3" s="1"/>
  <c r="B6" i="3" s="1"/>
  <c r="A28" i="3" a="1"/>
  <c r="A28" i="3" s="1"/>
  <c r="G37" i="1"/>
  <c r="G36" i="1"/>
  <c r="G35" i="1"/>
  <c r="G34" i="1"/>
  <c r="B10" i="3" l="1"/>
  <c r="B18" i="3"/>
  <c r="B14" i="3"/>
  <c r="A7" i="3" a="1"/>
  <c r="A7" i="3" s="1"/>
  <c r="B7" i="3" s="1"/>
  <c r="B17" i="3"/>
  <c r="B16" i="3"/>
  <c r="B15" i="3"/>
  <c r="B21" i="3"/>
  <c r="C22" i="3"/>
  <c r="B20" i="3"/>
  <c r="B19" i="3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<sst xmlns="http://schemas.openxmlformats.org/spreadsheetml/2006/main" count="217" uniqueCount="114">
  <si>
    <t xml:space="preserve">Product </t>
  </si>
  <si>
    <t>Opening</t>
  </si>
  <si>
    <t>Inward</t>
  </si>
  <si>
    <t>Outward</t>
  </si>
  <si>
    <t>Closing</t>
  </si>
  <si>
    <t>Monitor A</t>
  </si>
  <si>
    <t>Monitor B</t>
  </si>
  <si>
    <t>Category</t>
  </si>
  <si>
    <t>Furniture</t>
  </si>
  <si>
    <t>Laptop A</t>
  </si>
  <si>
    <t>Laptop B</t>
  </si>
  <si>
    <t>Laptop C</t>
  </si>
  <si>
    <t>Electronics</t>
  </si>
  <si>
    <t>Air Conditioner (a)</t>
  </si>
  <si>
    <t>Air Conditioner (b)</t>
  </si>
  <si>
    <t>Printer A</t>
  </si>
  <si>
    <t>Printer B</t>
  </si>
  <si>
    <t>Accessories</t>
  </si>
  <si>
    <t>Tablet A</t>
  </si>
  <si>
    <t>Tablet AB</t>
  </si>
  <si>
    <t>Tablet B</t>
  </si>
  <si>
    <t xml:space="preserve">Television </t>
  </si>
  <si>
    <t>Charger Type C</t>
  </si>
  <si>
    <t>Charger Type A</t>
  </si>
  <si>
    <t xml:space="preserve">Headphones </t>
  </si>
  <si>
    <t>USB Cable</t>
  </si>
  <si>
    <t>Charger Type B</t>
  </si>
  <si>
    <t>Earphones A</t>
  </si>
  <si>
    <t>Earphones B</t>
  </si>
  <si>
    <t>Bluetooth Headset</t>
  </si>
  <si>
    <t>Power Bank</t>
  </si>
  <si>
    <t>Adapter</t>
  </si>
  <si>
    <t>Mobile cover A</t>
  </si>
  <si>
    <t>Mobile cover B</t>
  </si>
  <si>
    <t>Screen Guard</t>
  </si>
  <si>
    <t>Tempered Glass</t>
  </si>
  <si>
    <t>Mobile Stand</t>
  </si>
  <si>
    <t>Laptop Bag</t>
  </si>
  <si>
    <t>Wireless Mouse</t>
  </si>
  <si>
    <t>Wireless Keyboard</t>
  </si>
  <si>
    <t>Keyboard</t>
  </si>
  <si>
    <t>Webcam</t>
  </si>
  <si>
    <t>Pen drive 16GB</t>
  </si>
  <si>
    <t>Pen drive 32GB</t>
  </si>
  <si>
    <t>External Hard Disk</t>
  </si>
  <si>
    <t>Memory Card</t>
  </si>
  <si>
    <t>Product Code</t>
  </si>
  <si>
    <t>ACC-01</t>
  </si>
  <si>
    <t>ELE-01</t>
  </si>
  <si>
    <t>FUR-01</t>
  </si>
  <si>
    <t>ACC-02</t>
  </si>
  <si>
    <t>ELE-02</t>
  </si>
  <si>
    <t>ELE-03</t>
  </si>
  <si>
    <t>ELE-04</t>
  </si>
  <si>
    <t>ELE-05</t>
  </si>
  <si>
    <t>ELE-06</t>
  </si>
  <si>
    <t>FUR-02</t>
  </si>
  <si>
    <t>ACC-03</t>
  </si>
  <si>
    <t>Office/Utility Items</t>
  </si>
  <si>
    <t>ELE-07</t>
  </si>
  <si>
    <t>FUR-07</t>
  </si>
  <si>
    <t>FUR-03</t>
  </si>
  <si>
    <t>FUR-04</t>
  </si>
  <si>
    <t>ELE-08</t>
  </si>
  <si>
    <t>FUR-08</t>
  </si>
  <si>
    <t>ELE-09</t>
  </si>
  <si>
    <t>ELE-10</t>
  </si>
  <si>
    <t>ELE-11</t>
  </si>
  <si>
    <t>ELE-13</t>
  </si>
  <si>
    <t>ELE-17</t>
  </si>
  <si>
    <t>ELE-18</t>
  </si>
  <si>
    <t>ELE-19</t>
  </si>
  <si>
    <t>ELE-20</t>
  </si>
  <si>
    <t>ELE-21</t>
  </si>
  <si>
    <t>FUR-05</t>
  </si>
  <si>
    <t>ACC-05</t>
  </si>
  <si>
    <t>FUR-06</t>
  </si>
  <si>
    <t>ACC-07</t>
  </si>
  <si>
    <t>ACC-04</t>
  </si>
  <si>
    <t>ACC-06</t>
  </si>
  <si>
    <t>ACC-08</t>
  </si>
  <si>
    <t>ACC-09</t>
  </si>
  <si>
    <t>ACC-10</t>
  </si>
  <si>
    <t>ACC-11</t>
  </si>
  <si>
    <t>ACC-12</t>
  </si>
  <si>
    <t>ACC-13</t>
  </si>
  <si>
    <t>ACC-14</t>
  </si>
  <si>
    <t>ACC-15</t>
  </si>
  <si>
    <t>UTL-01</t>
  </si>
  <si>
    <t>UTL-02</t>
  </si>
  <si>
    <t>UTL-03</t>
  </si>
  <si>
    <t>UTL-04</t>
  </si>
  <si>
    <t>UTL-05</t>
  </si>
  <si>
    <t>UTL-06</t>
  </si>
  <si>
    <t>UTL-07</t>
  </si>
  <si>
    <t>UTL-08</t>
  </si>
  <si>
    <t>UTL-09</t>
  </si>
  <si>
    <t>Office Chair</t>
  </si>
  <si>
    <t>Work Desk</t>
  </si>
  <si>
    <t>Computer Table</t>
  </si>
  <si>
    <t>Storage Cabinet</t>
  </si>
  <si>
    <t>Drawer Unit</t>
  </si>
  <si>
    <t>Bookshelf</t>
  </si>
  <si>
    <t>File Rack</t>
  </si>
  <si>
    <t>Visitor Chair</t>
  </si>
  <si>
    <t>LAN Cable</t>
  </si>
  <si>
    <t>Router</t>
  </si>
  <si>
    <t>Mobile A</t>
  </si>
  <si>
    <t>Mobile B</t>
  </si>
  <si>
    <t>Product  Code</t>
  </si>
  <si>
    <t>Product</t>
  </si>
  <si>
    <t>Stock</t>
  </si>
  <si>
    <t xml:space="preserve">Select Category </t>
  </si>
  <si>
    <t>Inventory Management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</si>
</sst>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1" xfId="0" applyFill="1" applyBorder="1"/>
    <xf numFmtId="0" fontId="0" fillId="4" borderId="12" xfId="0" applyFill="1" applyBorder="1" applyAlignment="1">
      <alignment horizontal="center" vertical="center"/>
    </xf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/>
    <xf numFmtId="0" fontId="0" fillId="5" borderId="7" xfId="0" applyFill="1" applyBorder="1"/>
    <xf numFmtId="0" fontId="0" fillId="5" borderId="11" xfId="0" applyFill="1" applyBorder="1" applyAlignment="1">
      <alignment horizontal="center" vertical="center"/>
    </xf>
    <xf numFmtId="0" fontId="0" fillId="5" borderId="0" xfId="0" applyFill="1" applyBorder="1"/>
    <xf numFmtId="0" fontId="0" fillId="5" borderId="12" xfId="0" applyFill="1" applyBorder="1"/>
    <xf numFmtId="0" fontId="0" fillId="5" borderId="6" xfId="0" applyFill="1" applyBorder="1" applyAlignment="1">
      <alignment horizontal="center" vertical="center"/>
    </xf>
    <xf numFmtId="0" fontId="0" fillId="5" borderId="13" xfId="0" applyFill="1" applyBorder="1"/>
    <xf numFmtId="0" fontId="0" fillId="5" borderId="4" xfId="0" applyFill="1" applyBorder="1"/>
    <xf numFmtId="0" fontId="4" fillId="4" borderId="11" xfId="0" applyFont="1" applyFill="1" applyBorder="1"/>
    <xf numFmtId="0" fontId="4" fillId="4" borderId="12" xfId="0" applyFont="1" applyFill="1" applyBorder="1" applyAlignment="1">
      <alignment horizontal="center" vertical="center"/>
    </xf>
    <xf numFmtId="0" fontId="3" fillId="4" borderId="9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Inventory</a:t>
            </a:r>
            <a:r>
              <a:rPr lang="en-US" sz="1600" b="1" baseline="0">
                <a:solidFill>
                  <a:schemeClr val="tx1"/>
                </a:solidFill>
              </a:rPr>
              <a:t> - Selected Category</a:t>
            </a:r>
            <a:endParaRPr lang="en-US" sz="16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3.316749585406301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Dashboard!$A$6:$A$20</c:f>
              <c:strCache>
                <c:ptCount val="15"/>
                <c:pt idx="0">
                  <c:v>Charger Type C</c:v>
                </c:pt>
                <c:pt idx="1">
                  <c:v>Charger Type A</c:v>
                </c:pt>
                <c:pt idx="2">
                  <c:v>Headphones </c:v>
                </c:pt>
                <c:pt idx="3">
                  <c:v>USB Cable</c:v>
                </c:pt>
                <c:pt idx="4">
                  <c:v>Charger Type B</c:v>
                </c:pt>
                <c:pt idx="5">
                  <c:v>Earphones A</c:v>
                </c:pt>
                <c:pt idx="6">
                  <c:v>Earphones B</c:v>
                </c:pt>
                <c:pt idx="7">
                  <c:v>Bluetooth Headset</c:v>
                </c:pt>
                <c:pt idx="8">
                  <c:v>Power Bank</c:v>
                </c:pt>
                <c:pt idx="9">
                  <c:v>Mobile cover A</c:v>
                </c:pt>
                <c:pt idx="10">
                  <c:v>Mobile cover B</c:v>
                </c:pt>
                <c:pt idx="11">
                  <c:v>Screen Guard</c:v>
                </c:pt>
                <c:pt idx="12">
                  <c:v>Tempered Glass</c:v>
                </c:pt>
                <c:pt idx="13">
                  <c:v>Mobile Stand</c:v>
                </c:pt>
                <c:pt idx="14">
                  <c:v>Laptop Bag</c:v>
                </c:pt>
              </c:strCache>
            </c:strRef>
          </c:cat>
          <c:val>
            <c:numRef>
              <c:f>Dashboard!$B$6:$B$20</c:f>
              <c:numCache>
                <c:formatCode>General</c:formatCode>
                <c:ptCount val="15"/>
                <c:pt idx="0">
                  <c:v>120</c:v>
                </c:pt>
                <c:pt idx="1">
                  <c:v>120</c:v>
                </c:pt>
                <c:pt idx="2">
                  <c:v>55</c:v>
                </c:pt>
                <c:pt idx="3">
                  <c:v>160</c:v>
                </c:pt>
                <c:pt idx="4">
                  <c:v>50</c:v>
                </c:pt>
                <c:pt idx="5">
                  <c:v>110</c:v>
                </c:pt>
                <c:pt idx="6">
                  <c:v>20</c:v>
                </c:pt>
                <c:pt idx="7">
                  <c:v>60</c:v>
                </c:pt>
                <c:pt idx="8">
                  <c:v>65</c:v>
                </c:pt>
                <c:pt idx="9">
                  <c:v>5</c:v>
                </c:pt>
                <c:pt idx="10">
                  <c:v>30</c:v>
                </c:pt>
                <c:pt idx="11">
                  <c:v>10</c:v>
                </c:pt>
                <c:pt idx="12">
                  <c:v>170</c:v>
                </c:pt>
                <c:pt idx="13">
                  <c:v>20</c:v>
                </c:pt>
                <c:pt idx="14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181592"/>
        <c:axId val="266198760"/>
      </c:barChart>
      <c:catAx>
        <c:axId val="26618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198760"/>
        <c:crosses val="autoZero"/>
        <c:auto val="1"/>
        <c:lblAlgn val="ctr"/>
        <c:lblOffset val="100"/>
        <c:noMultiLvlLbl val="0"/>
      </c:catAx>
      <c:valAx>
        <c:axId val="26619876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661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3</xdr:row>
      <xdr:rowOff>9525</xdr:rowOff>
    </xdr:from>
    <xdr:to>
      <xdr:col>14</xdr:col>
      <xdr:colOff>523875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1371600</xdr:colOff>
      <xdr:row>1</xdr:row>
      <xdr:rowOff>95250</xdr:rowOff>
    </xdr:from>
    <xdr:to>
      <xdr:col>0</xdr:col>
      <xdr:colOff>1781175</xdr:colOff>
      <xdr:row>1</xdr:row>
      <xdr:rowOff>190500</xdr:rowOff>
    </xdr:to>
    <xdr:sp macro="" textlink="">
      <xdr:nvSpPr>
        <xdr:cNvPr id="3" name="Right Arrow 2"/>
        <xdr:cNvSpPr/>
      </xdr:nvSpPr>
      <xdr:spPr>
        <a:xfrm>
          <a:off x="1371600" y="561975"/>
          <a:ext cx="409575" cy="95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G50" totalsRowShown="0" headerRowDxfId="12" dataDxfId="10" headerRowBorderDxfId="11" tableBorderDxfId="9" totalsRowBorderDxfId="8">
  <autoFilter ref="A1:G50"/>
  <tableColumns count="7">
    <tableColumn id="1" name="Product Code" dataDxfId="7"/>
    <tableColumn id="2" name="Product " dataDxfId="6"/>
    <tableColumn id="3" name="Category" dataDxfId="5"/>
    <tableColumn id="4" name="Opening" dataDxfId="4"/>
    <tableColumn id="5" name="Inward" dataDxfId="3"/>
    <tableColumn id="6" name="Outward" dataDxfId="2"/>
    <tableColumn id="7" name="Closing" dataDxfId="1">
      <calculatedColumnFormula>D2+E2-F2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1" width="16.42578125" style="1" customWidth="1"/>
    <col min="2" max="2" width="17.85546875" style="2" bestFit="1" customWidth="1"/>
    <col min="3" max="3" width="18.42578125" style="7" bestFit="1" customWidth="1"/>
    <col min="4" max="4" width="11.42578125" style="7" customWidth="1"/>
    <col min="5" max="5" width="10" style="7" customWidth="1"/>
    <col min="6" max="6" width="11.85546875" style="7" customWidth="1"/>
    <col min="7" max="7" width="10" style="7" customWidth="1"/>
    <col min="10" max="10" width="18.42578125" style="7" bestFit="1" customWidth="1"/>
  </cols>
  <sheetData>
    <row r="1" spans="1:10" ht="15.75" x14ac:dyDescent="0.25">
      <c r="A1" s="10" t="s">
        <v>46</v>
      </c>
      <c r="B1" s="11" t="s">
        <v>0</v>
      </c>
      <c r="C1" s="11" t="s">
        <v>7</v>
      </c>
      <c r="D1" s="11" t="s">
        <v>1</v>
      </c>
      <c r="E1" s="11" t="s">
        <v>2</v>
      </c>
      <c r="F1" s="11" t="s">
        <v>3</v>
      </c>
      <c r="G1" s="12" t="s">
        <v>4</v>
      </c>
      <c r="J1" s="11" t="s">
        <v>7</v>
      </c>
    </row>
    <row r="2" spans="1:10" x14ac:dyDescent="0.25">
      <c r="A2" s="8" t="s">
        <v>47</v>
      </c>
      <c r="B2" s="5" t="s">
        <v>22</v>
      </c>
      <c r="C2" s="6" t="s">
        <v>17</v>
      </c>
      <c r="D2" s="6">
        <v>220</v>
      </c>
      <c r="E2" s="6">
        <v>50</v>
      </c>
      <c r="F2" s="6">
        <v>150</v>
      </c>
      <c r="G2" s="9">
        <f>D2+E2-F2</f>
        <v>120</v>
      </c>
      <c r="J2" s="6" t="s">
        <v>17</v>
      </c>
    </row>
    <row r="3" spans="1:10" x14ac:dyDescent="0.25">
      <c r="A3" s="8" t="s">
        <v>50</v>
      </c>
      <c r="B3" s="5" t="s">
        <v>23</v>
      </c>
      <c r="C3" s="6" t="s">
        <v>17</v>
      </c>
      <c r="D3" s="6">
        <v>200</v>
      </c>
      <c r="E3" s="6">
        <v>60</v>
      </c>
      <c r="F3" s="6">
        <v>140</v>
      </c>
      <c r="G3" s="9">
        <f t="shared" ref="G3:G50" si="0">D3+E3-F3</f>
        <v>120</v>
      </c>
      <c r="J3" s="6" t="s">
        <v>12</v>
      </c>
    </row>
    <row r="4" spans="1:10" x14ac:dyDescent="0.25">
      <c r="A4" s="8" t="s">
        <v>57</v>
      </c>
      <c r="B4" s="5" t="s">
        <v>24</v>
      </c>
      <c r="C4" s="6" t="s">
        <v>17</v>
      </c>
      <c r="D4" s="6">
        <v>90</v>
      </c>
      <c r="E4" s="6">
        <v>30</v>
      </c>
      <c r="F4" s="6">
        <v>65</v>
      </c>
      <c r="G4" s="9">
        <f t="shared" si="0"/>
        <v>55</v>
      </c>
      <c r="J4" s="6" t="s">
        <v>8</v>
      </c>
    </row>
    <row r="5" spans="1:10" x14ac:dyDescent="0.25">
      <c r="A5" s="8" t="s">
        <v>78</v>
      </c>
      <c r="B5" s="5" t="s">
        <v>25</v>
      </c>
      <c r="C5" s="6" t="s">
        <v>17</v>
      </c>
      <c r="D5" s="6">
        <v>300</v>
      </c>
      <c r="E5" s="6">
        <v>80</v>
      </c>
      <c r="F5" s="6">
        <v>220</v>
      </c>
      <c r="G5" s="9">
        <f t="shared" si="0"/>
        <v>160</v>
      </c>
      <c r="J5" s="6" t="s">
        <v>58</v>
      </c>
    </row>
    <row r="6" spans="1:10" x14ac:dyDescent="0.25">
      <c r="A6" s="8" t="s">
        <v>75</v>
      </c>
      <c r="B6" s="5" t="s">
        <v>26</v>
      </c>
      <c r="C6" s="6" t="s">
        <v>17</v>
      </c>
      <c r="D6" s="6">
        <v>150</v>
      </c>
      <c r="E6" s="6">
        <v>100</v>
      </c>
      <c r="F6" s="6">
        <v>200</v>
      </c>
      <c r="G6" s="9">
        <f t="shared" si="0"/>
        <v>50</v>
      </c>
      <c r="J6"/>
    </row>
    <row r="7" spans="1:10" x14ac:dyDescent="0.25">
      <c r="A7" s="8" t="s">
        <v>79</v>
      </c>
      <c r="B7" s="5" t="s">
        <v>27</v>
      </c>
      <c r="C7" s="6" t="s">
        <v>17</v>
      </c>
      <c r="D7" s="6">
        <v>180</v>
      </c>
      <c r="E7" s="6">
        <v>50</v>
      </c>
      <c r="F7" s="6">
        <v>120</v>
      </c>
      <c r="G7" s="9">
        <f t="shared" si="0"/>
        <v>110</v>
      </c>
      <c r="J7"/>
    </row>
    <row r="8" spans="1:10" x14ac:dyDescent="0.25">
      <c r="A8" s="8" t="s">
        <v>77</v>
      </c>
      <c r="B8" s="5" t="s">
        <v>28</v>
      </c>
      <c r="C8" s="6" t="s">
        <v>17</v>
      </c>
      <c r="D8" s="6">
        <v>200</v>
      </c>
      <c r="E8" s="6">
        <v>20</v>
      </c>
      <c r="F8" s="6">
        <v>200</v>
      </c>
      <c r="G8" s="9">
        <f t="shared" si="0"/>
        <v>20</v>
      </c>
      <c r="J8"/>
    </row>
    <row r="9" spans="1:10" x14ac:dyDescent="0.25">
      <c r="A9" s="8" t="s">
        <v>80</v>
      </c>
      <c r="B9" s="5" t="s">
        <v>29</v>
      </c>
      <c r="C9" s="6" t="s">
        <v>17</v>
      </c>
      <c r="D9" s="6">
        <v>120</v>
      </c>
      <c r="E9" s="6">
        <v>40</v>
      </c>
      <c r="F9" s="6">
        <v>100</v>
      </c>
      <c r="G9" s="9">
        <f t="shared" si="0"/>
        <v>60</v>
      </c>
      <c r="J9"/>
    </row>
    <row r="10" spans="1:10" x14ac:dyDescent="0.25">
      <c r="A10" s="8" t="s">
        <v>81</v>
      </c>
      <c r="B10" s="5" t="s">
        <v>30</v>
      </c>
      <c r="C10" s="6" t="s">
        <v>17</v>
      </c>
      <c r="D10" s="6">
        <v>110</v>
      </c>
      <c r="E10" s="6">
        <v>40</v>
      </c>
      <c r="F10" s="6">
        <v>85</v>
      </c>
      <c r="G10" s="9">
        <f t="shared" si="0"/>
        <v>65</v>
      </c>
      <c r="J10"/>
    </row>
    <row r="11" spans="1:10" x14ac:dyDescent="0.25">
      <c r="A11" s="8" t="s">
        <v>82</v>
      </c>
      <c r="B11" s="5" t="s">
        <v>32</v>
      </c>
      <c r="C11" s="6" t="s">
        <v>17</v>
      </c>
      <c r="D11" s="6">
        <v>50</v>
      </c>
      <c r="E11" s="6">
        <v>10</v>
      </c>
      <c r="F11" s="6">
        <v>55</v>
      </c>
      <c r="G11" s="9">
        <f t="shared" si="0"/>
        <v>5</v>
      </c>
      <c r="J11"/>
    </row>
    <row r="12" spans="1:10" x14ac:dyDescent="0.25">
      <c r="A12" s="8" t="s">
        <v>83</v>
      </c>
      <c r="B12" s="5" t="s">
        <v>33</v>
      </c>
      <c r="C12" s="6" t="s">
        <v>17</v>
      </c>
      <c r="D12" s="6">
        <v>70</v>
      </c>
      <c r="E12" s="6">
        <v>20</v>
      </c>
      <c r="F12" s="6">
        <v>60</v>
      </c>
      <c r="G12" s="9">
        <f t="shared" si="0"/>
        <v>30</v>
      </c>
      <c r="J12"/>
    </row>
    <row r="13" spans="1:10" x14ac:dyDescent="0.25">
      <c r="A13" s="8" t="s">
        <v>84</v>
      </c>
      <c r="B13" s="5" t="s">
        <v>34</v>
      </c>
      <c r="C13" s="6" t="s">
        <v>17</v>
      </c>
      <c r="D13" s="6">
        <v>70</v>
      </c>
      <c r="E13" s="6">
        <v>15</v>
      </c>
      <c r="F13" s="6">
        <v>75</v>
      </c>
      <c r="G13" s="9">
        <f t="shared" si="0"/>
        <v>10</v>
      </c>
      <c r="J13"/>
    </row>
    <row r="14" spans="1:10" x14ac:dyDescent="0.25">
      <c r="A14" s="8" t="s">
        <v>85</v>
      </c>
      <c r="B14" s="5" t="s">
        <v>35</v>
      </c>
      <c r="C14" s="6" t="s">
        <v>17</v>
      </c>
      <c r="D14" s="6">
        <v>400</v>
      </c>
      <c r="E14" s="6">
        <v>100</v>
      </c>
      <c r="F14" s="6">
        <v>330</v>
      </c>
      <c r="G14" s="9">
        <f t="shared" si="0"/>
        <v>170</v>
      </c>
      <c r="J14"/>
    </row>
    <row r="15" spans="1:10" x14ac:dyDescent="0.25">
      <c r="A15" s="8" t="s">
        <v>86</v>
      </c>
      <c r="B15" s="5" t="s">
        <v>36</v>
      </c>
      <c r="C15" s="6" t="s">
        <v>17</v>
      </c>
      <c r="D15" s="6">
        <v>40</v>
      </c>
      <c r="E15" s="6">
        <v>30</v>
      </c>
      <c r="F15" s="6">
        <v>50</v>
      </c>
      <c r="G15" s="9">
        <f t="shared" si="0"/>
        <v>20</v>
      </c>
      <c r="J15"/>
    </row>
    <row r="16" spans="1:10" x14ac:dyDescent="0.25">
      <c r="A16" s="8" t="s">
        <v>87</v>
      </c>
      <c r="B16" s="5" t="s">
        <v>37</v>
      </c>
      <c r="C16" s="6" t="s">
        <v>17</v>
      </c>
      <c r="D16" s="6">
        <v>60</v>
      </c>
      <c r="E16" s="6">
        <v>20</v>
      </c>
      <c r="F16" s="6">
        <v>40</v>
      </c>
      <c r="G16" s="9">
        <f t="shared" si="0"/>
        <v>40</v>
      </c>
      <c r="J16"/>
    </row>
    <row r="17" spans="1:10" x14ac:dyDescent="0.25">
      <c r="A17" s="8" t="s">
        <v>48</v>
      </c>
      <c r="B17" s="5" t="s">
        <v>18</v>
      </c>
      <c r="C17" s="6" t="s">
        <v>12</v>
      </c>
      <c r="D17" s="6">
        <v>80</v>
      </c>
      <c r="E17" s="6">
        <v>25</v>
      </c>
      <c r="F17" s="6">
        <v>50</v>
      </c>
      <c r="G17" s="9">
        <f t="shared" si="0"/>
        <v>55</v>
      </c>
      <c r="J17"/>
    </row>
    <row r="18" spans="1:10" s="1" customFormat="1" x14ac:dyDescent="0.25">
      <c r="A18" s="8" t="s">
        <v>51</v>
      </c>
      <c r="B18" s="5" t="s">
        <v>10</v>
      </c>
      <c r="C18" s="6" t="s">
        <v>12</v>
      </c>
      <c r="D18" s="6">
        <v>50</v>
      </c>
      <c r="E18" s="6">
        <v>15</v>
      </c>
      <c r="F18" s="6">
        <v>30</v>
      </c>
      <c r="G18" s="9">
        <f t="shared" si="0"/>
        <v>35</v>
      </c>
      <c r="J18"/>
    </row>
    <row r="19" spans="1:10" x14ac:dyDescent="0.25">
      <c r="A19" s="8" t="s">
        <v>52</v>
      </c>
      <c r="B19" s="5" t="s">
        <v>11</v>
      </c>
      <c r="C19" s="6" t="s">
        <v>12</v>
      </c>
      <c r="D19" s="6">
        <v>60</v>
      </c>
      <c r="E19" s="6">
        <v>20</v>
      </c>
      <c r="F19" s="6">
        <v>35</v>
      </c>
      <c r="G19" s="9">
        <f t="shared" si="0"/>
        <v>45</v>
      </c>
      <c r="J19"/>
    </row>
    <row r="20" spans="1:10" x14ac:dyDescent="0.25">
      <c r="A20" s="8" t="s">
        <v>53</v>
      </c>
      <c r="B20" s="5" t="s">
        <v>21</v>
      </c>
      <c r="C20" s="6" t="s">
        <v>12</v>
      </c>
      <c r="D20" s="6">
        <v>100</v>
      </c>
      <c r="E20" s="6">
        <v>120</v>
      </c>
      <c r="F20" s="6">
        <v>150</v>
      </c>
      <c r="G20" s="9">
        <f t="shared" si="0"/>
        <v>70</v>
      </c>
      <c r="J20"/>
    </row>
    <row r="21" spans="1:10" x14ac:dyDescent="0.25">
      <c r="A21" s="8" t="s">
        <v>54</v>
      </c>
      <c r="B21" s="5" t="s">
        <v>19</v>
      </c>
      <c r="C21" s="6" t="s">
        <v>12</v>
      </c>
      <c r="D21" s="6">
        <v>150</v>
      </c>
      <c r="E21" s="6">
        <v>50</v>
      </c>
      <c r="F21" s="6">
        <v>200</v>
      </c>
      <c r="G21" s="9">
        <f t="shared" si="0"/>
        <v>0</v>
      </c>
      <c r="J21"/>
    </row>
    <row r="22" spans="1:10" x14ac:dyDescent="0.25">
      <c r="A22" s="8" t="s">
        <v>55</v>
      </c>
      <c r="B22" s="5" t="s">
        <v>15</v>
      </c>
      <c r="C22" s="6" t="s">
        <v>12</v>
      </c>
      <c r="D22" s="6">
        <v>60</v>
      </c>
      <c r="E22" s="6">
        <v>50</v>
      </c>
      <c r="F22" s="6">
        <v>80</v>
      </c>
      <c r="G22" s="9">
        <f t="shared" si="0"/>
        <v>30</v>
      </c>
      <c r="J22"/>
    </row>
    <row r="23" spans="1:10" x14ac:dyDescent="0.25">
      <c r="A23" s="8" t="s">
        <v>59</v>
      </c>
      <c r="B23" s="5" t="s">
        <v>16</v>
      </c>
      <c r="C23" s="6" t="s">
        <v>12</v>
      </c>
      <c r="D23" s="6">
        <v>45</v>
      </c>
      <c r="E23" s="6">
        <v>50</v>
      </c>
      <c r="F23" s="6">
        <v>70</v>
      </c>
      <c r="G23" s="9">
        <f t="shared" si="0"/>
        <v>25</v>
      </c>
      <c r="J23"/>
    </row>
    <row r="24" spans="1:10" x14ac:dyDescent="0.25">
      <c r="A24" s="8" t="s">
        <v>63</v>
      </c>
      <c r="B24" s="5" t="s">
        <v>20</v>
      </c>
      <c r="C24" s="6" t="s">
        <v>12</v>
      </c>
      <c r="D24" s="6">
        <v>70</v>
      </c>
      <c r="E24" s="6">
        <v>20</v>
      </c>
      <c r="F24" s="6">
        <v>45</v>
      </c>
      <c r="G24" s="9">
        <f t="shared" si="0"/>
        <v>45</v>
      </c>
      <c r="J24"/>
    </row>
    <row r="25" spans="1:10" x14ac:dyDescent="0.25">
      <c r="A25" s="8" t="s">
        <v>65</v>
      </c>
      <c r="B25" s="5" t="s">
        <v>41</v>
      </c>
      <c r="C25" s="6" t="s">
        <v>12</v>
      </c>
      <c r="D25" s="6">
        <v>55</v>
      </c>
      <c r="E25" s="6">
        <v>50</v>
      </c>
      <c r="F25" s="6">
        <v>70</v>
      </c>
      <c r="G25" s="9">
        <f t="shared" si="0"/>
        <v>35</v>
      </c>
      <c r="J25"/>
    </row>
    <row r="26" spans="1:10" x14ac:dyDescent="0.25">
      <c r="A26" s="8" t="s">
        <v>66</v>
      </c>
      <c r="B26" s="5" t="s">
        <v>107</v>
      </c>
      <c r="C26" s="6" t="s">
        <v>12</v>
      </c>
      <c r="D26" s="6">
        <v>120</v>
      </c>
      <c r="E26" s="6">
        <v>40</v>
      </c>
      <c r="F26" s="6">
        <v>90</v>
      </c>
      <c r="G26" s="9">
        <f t="shared" si="0"/>
        <v>70</v>
      </c>
      <c r="J26"/>
    </row>
    <row r="27" spans="1:10" x14ac:dyDescent="0.25">
      <c r="A27" s="8" t="s">
        <v>67</v>
      </c>
      <c r="B27" s="5" t="s">
        <v>108</v>
      </c>
      <c r="C27" s="6" t="s">
        <v>12</v>
      </c>
      <c r="D27" s="6">
        <v>100</v>
      </c>
      <c r="E27" s="6">
        <v>30</v>
      </c>
      <c r="F27" s="6">
        <v>70</v>
      </c>
      <c r="G27" s="9">
        <f t="shared" si="0"/>
        <v>60</v>
      </c>
      <c r="J27"/>
    </row>
    <row r="28" spans="1:10" x14ac:dyDescent="0.25">
      <c r="A28" s="8" t="s">
        <v>68</v>
      </c>
      <c r="B28" s="5" t="s">
        <v>106</v>
      </c>
      <c r="C28" s="6" t="s">
        <v>12</v>
      </c>
      <c r="D28" s="6">
        <v>55</v>
      </c>
      <c r="E28" s="6">
        <v>15</v>
      </c>
      <c r="F28" s="6">
        <v>35</v>
      </c>
      <c r="G28" s="9">
        <f t="shared" si="0"/>
        <v>35</v>
      </c>
      <c r="J28"/>
    </row>
    <row r="29" spans="1:10" x14ac:dyDescent="0.25">
      <c r="A29" s="8" t="s">
        <v>69</v>
      </c>
      <c r="B29" s="5" t="s">
        <v>13</v>
      </c>
      <c r="C29" s="6" t="s">
        <v>12</v>
      </c>
      <c r="D29" s="6">
        <v>65</v>
      </c>
      <c r="E29" s="6">
        <v>100</v>
      </c>
      <c r="F29" s="6">
        <v>120</v>
      </c>
      <c r="G29" s="9">
        <f t="shared" si="0"/>
        <v>45</v>
      </c>
      <c r="J29"/>
    </row>
    <row r="30" spans="1:10" x14ac:dyDescent="0.25">
      <c r="A30" s="8" t="s">
        <v>70</v>
      </c>
      <c r="B30" s="5" t="s">
        <v>14</v>
      </c>
      <c r="C30" s="6" t="s">
        <v>12</v>
      </c>
      <c r="D30" s="6">
        <v>70</v>
      </c>
      <c r="E30" s="6">
        <v>100</v>
      </c>
      <c r="F30" s="6">
        <v>125</v>
      </c>
      <c r="G30" s="9">
        <f t="shared" si="0"/>
        <v>45</v>
      </c>
      <c r="J30"/>
    </row>
    <row r="31" spans="1:10" x14ac:dyDescent="0.25">
      <c r="A31" s="8" t="s">
        <v>71</v>
      </c>
      <c r="B31" s="5" t="s">
        <v>5</v>
      </c>
      <c r="C31" s="6" t="s">
        <v>12</v>
      </c>
      <c r="D31" s="6">
        <v>25</v>
      </c>
      <c r="E31" s="6">
        <v>40</v>
      </c>
      <c r="F31" s="6">
        <v>30</v>
      </c>
      <c r="G31" s="9">
        <f t="shared" si="0"/>
        <v>35</v>
      </c>
      <c r="J31"/>
    </row>
    <row r="32" spans="1:10" x14ac:dyDescent="0.25">
      <c r="A32" s="8" t="s">
        <v>72</v>
      </c>
      <c r="B32" s="5" t="s">
        <v>6</v>
      </c>
      <c r="C32" s="6" t="s">
        <v>12</v>
      </c>
      <c r="D32" s="6">
        <v>30</v>
      </c>
      <c r="E32" s="6">
        <v>40</v>
      </c>
      <c r="F32" s="6">
        <v>60</v>
      </c>
      <c r="G32" s="9">
        <f t="shared" si="0"/>
        <v>10</v>
      </c>
      <c r="J32"/>
    </row>
    <row r="33" spans="1:10" x14ac:dyDescent="0.25">
      <c r="A33" s="8" t="s">
        <v>73</v>
      </c>
      <c r="B33" s="5" t="s">
        <v>9</v>
      </c>
      <c r="C33" s="6" t="s">
        <v>12</v>
      </c>
      <c r="D33" s="6">
        <v>60</v>
      </c>
      <c r="E33" s="6">
        <v>25</v>
      </c>
      <c r="F33" s="6">
        <v>40</v>
      </c>
      <c r="G33" s="9">
        <f t="shared" si="0"/>
        <v>45</v>
      </c>
      <c r="J33"/>
    </row>
    <row r="34" spans="1:10" x14ac:dyDescent="0.25">
      <c r="A34" s="8" t="s">
        <v>49</v>
      </c>
      <c r="B34" s="5" t="s">
        <v>97</v>
      </c>
      <c r="C34" s="6" t="s">
        <v>8</v>
      </c>
      <c r="D34" s="6">
        <v>45</v>
      </c>
      <c r="E34" s="6">
        <v>50</v>
      </c>
      <c r="F34" s="6">
        <v>75</v>
      </c>
      <c r="G34" s="9">
        <f t="shared" ref="G34:G37" si="1">D34+E34-F34</f>
        <v>20</v>
      </c>
      <c r="J34"/>
    </row>
    <row r="35" spans="1:10" x14ac:dyDescent="0.25">
      <c r="A35" s="8" t="s">
        <v>56</v>
      </c>
      <c r="B35" s="5" t="s">
        <v>98</v>
      </c>
      <c r="C35" s="6" t="s">
        <v>8</v>
      </c>
      <c r="D35" s="6">
        <v>70</v>
      </c>
      <c r="E35" s="6">
        <v>20</v>
      </c>
      <c r="F35" s="6">
        <v>45</v>
      </c>
      <c r="G35" s="9">
        <f t="shared" si="1"/>
        <v>45</v>
      </c>
      <c r="J35"/>
    </row>
    <row r="36" spans="1:10" x14ac:dyDescent="0.25">
      <c r="A36" s="8" t="s">
        <v>61</v>
      </c>
      <c r="B36" s="5" t="s">
        <v>99</v>
      </c>
      <c r="C36" s="6" t="s">
        <v>8</v>
      </c>
      <c r="D36" s="6">
        <v>55</v>
      </c>
      <c r="E36" s="6">
        <v>50</v>
      </c>
      <c r="F36" s="6">
        <v>70</v>
      </c>
      <c r="G36" s="9">
        <f t="shared" si="1"/>
        <v>35</v>
      </c>
      <c r="J36"/>
    </row>
    <row r="37" spans="1:10" x14ac:dyDescent="0.25">
      <c r="A37" s="8" t="s">
        <v>62</v>
      </c>
      <c r="B37" s="5" t="s">
        <v>100</v>
      </c>
      <c r="C37" s="6" t="s">
        <v>8</v>
      </c>
      <c r="D37" s="6">
        <v>120</v>
      </c>
      <c r="E37" s="6">
        <v>40</v>
      </c>
      <c r="F37" s="6">
        <v>90</v>
      </c>
      <c r="G37" s="9">
        <f t="shared" si="1"/>
        <v>70</v>
      </c>
      <c r="J37"/>
    </row>
    <row r="38" spans="1:10" x14ac:dyDescent="0.25">
      <c r="A38" s="8" t="s">
        <v>74</v>
      </c>
      <c r="B38" s="5" t="s">
        <v>101</v>
      </c>
      <c r="C38" s="6" t="s">
        <v>8</v>
      </c>
      <c r="D38" s="6">
        <v>10</v>
      </c>
      <c r="E38" s="6">
        <v>50</v>
      </c>
      <c r="F38" s="6">
        <v>30</v>
      </c>
      <c r="G38" s="9">
        <f t="shared" si="0"/>
        <v>30</v>
      </c>
      <c r="J38"/>
    </row>
    <row r="39" spans="1:10" x14ac:dyDescent="0.25">
      <c r="A39" s="8" t="s">
        <v>76</v>
      </c>
      <c r="B39" s="5" t="s">
        <v>102</v>
      </c>
      <c r="C39" s="6" t="s">
        <v>8</v>
      </c>
      <c r="D39" s="6">
        <v>30</v>
      </c>
      <c r="E39" s="6">
        <v>50</v>
      </c>
      <c r="F39" s="6">
        <v>50</v>
      </c>
      <c r="G39" s="9">
        <f t="shared" si="0"/>
        <v>30</v>
      </c>
      <c r="J39"/>
    </row>
    <row r="40" spans="1:10" x14ac:dyDescent="0.25">
      <c r="A40" s="8" t="s">
        <v>60</v>
      </c>
      <c r="B40" s="5" t="s">
        <v>103</v>
      </c>
      <c r="C40" s="6" t="s">
        <v>8</v>
      </c>
      <c r="D40" s="6">
        <v>20</v>
      </c>
      <c r="E40" s="6">
        <v>40</v>
      </c>
      <c r="F40" s="6">
        <v>40</v>
      </c>
      <c r="G40" s="9">
        <f t="shared" si="0"/>
        <v>20</v>
      </c>
      <c r="J40"/>
    </row>
    <row r="41" spans="1:10" x14ac:dyDescent="0.25">
      <c r="A41" s="8" t="s">
        <v>64</v>
      </c>
      <c r="B41" s="5" t="s">
        <v>104</v>
      </c>
      <c r="C41" s="6" t="s">
        <v>8</v>
      </c>
      <c r="D41" s="6">
        <v>50</v>
      </c>
      <c r="E41" s="6">
        <v>80</v>
      </c>
      <c r="F41" s="6">
        <v>75</v>
      </c>
      <c r="G41" s="9">
        <f t="shared" si="0"/>
        <v>55</v>
      </c>
      <c r="J41"/>
    </row>
    <row r="42" spans="1:10" x14ac:dyDescent="0.25">
      <c r="A42" s="8" t="s">
        <v>88</v>
      </c>
      <c r="B42" s="5" t="s">
        <v>31</v>
      </c>
      <c r="C42" s="6" t="s">
        <v>58</v>
      </c>
      <c r="D42" s="6">
        <v>60</v>
      </c>
      <c r="E42" s="6">
        <v>10</v>
      </c>
      <c r="F42" s="6">
        <v>65</v>
      </c>
      <c r="G42" s="9">
        <f t="shared" si="0"/>
        <v>5</v>
      </c>
      <c r="J42"/>
    </row>
    <row r="43" spans="1:10" x14ac:dyDescent="0.25">
      <c r="A43" s="8" t="s">
        <v>89</v>
      </c>
      <c r="B43" s="5" t="s">
        <v>38</v>
      </c>
      <c r="C43" s="6" t="s">
        <v>58</v>
      </c>
      <c r="D43" s="6">
        <v>140</v>
      </c>
      <c r="E43" s="6">
        <v>35</v>
      </c>
      <c r="F43" s="6">
        <v>95</v>
      </c>
      <c r="G43" s="9">
        <f t="shared" si="0"/>
        <v>80</v>
      </c>
      <c r="J43"/>
    </row>
    <row r="44" spans="1:10" x14ac:dyDescent="0.25">
      <c r="A44" s="8" t="s">
        <v>90</v>
      </c>
      <c r="B44" s="5" t="s">
        <v>39</v>
      </c>
      <c r="C44" s="6" t="s">
        <v>58</v>
      </c>
      <c r="D44" s="6">
        <v>130</v>
      </c>
      <c r="E44" s="6">
        <v>50</v>
      </c>
      <c r="F44" s="6">
        <v>100</v>
      </c>
      <c r="G44" s="9">
        <f t="shared" si="0"/>
        <v>80</v>
      </c>
      <c r="J44"/>
    </row>
    <row r="45" spans="1:10" x14ac:dyDescent="0.25">
      <c r="A45" s="8" t="s">
        <v>91</v>
      </c>
      <c r="B45" s="5" t="s">
        <v>40</v>
      </c>
      <c r="C45" s="6" t="s">
        <v>58</v>
      </c>
      <c r="D45" s="6">
        <v>100</v>
      </c>
      <c r="E45" s="6">
        <v>25</v>
      </c>
      <c r="F45" s="6">
        <v>60</v>
      </c>
      <c r="G45" s="9">
        <f t="shared" si="0"/>
        <v>65</v>
      </c>
      <c r="J45"/>
    </row>
    <row r="46" spans="1:10" x14ac:dyDescent="0.25">
      <c r="A46" s="8" t="s">
        <v>92</v>
      </c>
      <c r="B46" s="5" t="s">
        <v>105</v>
      </c>
      <c r="C46" s="6" t="s">
        <v>58</v>
      </c>
      <c r="D46" s="6">
        <v>50</v>
      </c>
      <c r="E46" s="6">
        <v>60</v>
      </c>
      <c r="F46" s="6">
        <v>70</v>
      </c>
      <c r="G46" s="9">
        <f t="shared" si="0"/>
        <v>40</v>
      </c>
      <c r="J46"/>
    </row>
    <row r="47" spans="1:10" x14ac:dyDescent="0.25">
      <c r="A47" s="8" t="s">
        <v>93</v>
      </c>
      <c r="B47" s="5" t="s">
        <v>42</v>
      </c>
      <c r="C47" s="6" t="s">
        <v>58</v>
      </c>
      <c r="D47" s="6">
        <v>150</v>
      </c>
      <c r="E47" s="6">
        <v>50</v>
      </c>
      <c r="F47" s="6">
        <v>120</v>
      </c>
      <c r="G47" s="9">
        <f t="shared" si="0"/>
        <v>80</v>
      </c>
      <c r="J47"/>
    </row>
    <row r="48" spans="1:10" x14ac:dyDescent="0.25">
      <c r="A48" s="8" t="s">
        <v>94</v>
      </c>
      <c r="B48" s="5" t="s">
        <v>43</v>
      </c>
      <c r="C48" s="6" t="s">
        <v>58</v>
      </c>
      <c r="D48" s="6">
        <v>160</v>
      </c>
      <c r="E48" s="6">
        <v>45</v>
      </c>
      <c r="F48" s="6">
        <v>110</v>
      </c>
      <c r="G48" s="9">
        <f t="shared" si="0"/>
        <v>95</v>
      </c>
      <c r="J48"/>
    </row>
    <row r="49" spans="1:10" x14ac:dyDescent="0.25">
      <c r="A49" s="8" t="s">
        <v>95</v>
      </c>
      <c r="B49" s="5" t="s">
        <v>44</v>
      </c>
      <c r="C49" s="6" t="s">
        <v>58</v>
      </c>
      <c r="D49" s="6">
        <v>40</v>
      </c>
      <c r="E49" s="6">
        <v>10</v>
      </c>
      <c r="F49" s="6">
        <v>25</v>
      </c>
      <c r="G49" s="9">
        <f t="shared" si="0"/>
        <v>25</v>
      </c>
      <c r="J49"/>
    </row>
    <row r="50" spans="1:10" x14ac:dyDescent="0.25">
      <c r="A50" s="13" t="s">
        <v>96</v>
      </c>
      <c r="B50" s="14" t="s">
        <v>45</v>
      </c>
      <c r="C50" s="15" t="s">
        <v>58</v>
      </c>
      <c r="D50" s="15">
        <v>65</v>
      </c>
      <c r="E50" s="15">
        <v>50</v>
      </c>
      <c r="F50" s="15">
        <v>70</v>
      </c>
      <c r="G50" s="16">
        <f t="shared" si="0"/>
        <v>45</v>
      </c>
      <c r="J50"/>
    </row>
  </sheetData>
  <sortState ref="A2:G50">
    <sortCondition ref="A2:A50"/>
    <sortCondition ref="B2:B50"/>
  </sortState>
  <conditionalFormatting sqref="G2:G33 G38:G50">
    <cfRule type="cellIs" dxfId="14" priority="2" operator="lessThan">
      <formula>30</formula>
    </cfRule>
  </conditionalFormatting>
  <conditionalFormatting sqref="G34:G37">
    <cfRule type="cellIs" dxfId="13" priority="1" operator="lessThan">
      <formula>30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2" sqref="C2"/>
    </sheetView>
  </sheetViews>
  <sheetFormatPr defaultRowHeight="15" x14ac:dyDescent="0.25"/>
  <cols>
    <col min="1" max="1" width="15" style="1" bestFit="1" customWidth="1"/>
    <col min="2" max="2" width="17.85546875" bestFit="1" customWidth="1"/>
    <col min="3" max="3" width="18.42578125" style="7" bestFit="1" customWidth="1"/>
    <col min="4" max="4" width="11.28515625" style="7" customWidth="1"/>
  </cols>
  <sheetData>
    <row r="1" spans="1:4" ht="15.75" x14ac:dyDescent="0.25">
      <c r="A1" s="3" t="s">
        <v>109</v>
      </c>
      <c r="B1" s="3" t="s">
        <v>0</v>
      </c>
      <c r="C1" s="11" t="s">
        <v>7</v>
      </c>
      <c r="D1" s="3" t="s">
        <v>4</v>
      </c>
    </row>
    <row r="2" spans="1:4" x14ac:dyDescent="0.25">
      <c r="A2" s="4" t="s">
        <v>47</v>
      </c>
      <c r="B2" s="5" t="str">
        <f>VLOOKUP(A2,'Inventory Data'!A:G,2,0)</f>
        <v>Charger Type C</v>
      </c>
      <c r="C2" s="6" t="str">
        <f>VLOOKUP(A2,'Inventory Data'!A:G,3,0)</f>
        <v>Accessories</v>
      </c>
      <c r="D2" s="6">
        <f>VLOOKUP(A2,'Inventory Data'!A:G,7,0)</f>
        <v>120</v>
      </c>
    </row>
    <row r="3" spans="1:4" x14ac:dyDescent="0.25">
      <c r="A3" s="4" t="s">
        <v>50</v>
      </c>
      <c r="B3" s="5" t="str">
        <f>VLOOKUP(A3,'Inventory Data'!A:G,2,0)</f>
        <v>Charger Type A</v>
      </c>
      <c r="C3" s="6" t="str">
        <f>VLOOKUP(A3,'Inventory Data'!A:G,3,0)</f>
        <v>Accessories</v>
      </c>
      <c r="D3" s="6">
        <f>VLOOKUP(A3,'Inventory Data'!A:G,7,0)</f>
        <v>120</v>
      </c>
    </row>
    <row r="4" spans="1:4" x14ac:dyDescent="0.25">
      <c r="A4" s="4" t="s">
        <v>57</v>
      </c>
      <c r="B4" s="5" t="str">
        <f>VLOOKUP(A4,'Inventory Data'!A:G,2,0)</f>
        <v xml:space="preserve">Headphones </v>
      </c>
      <c r="C4" s="6" t="str">
        <f>VLOOKUP(A4,'Inventory Data'!A:G,3,0)</f>
        <v>Accessories</v>
      </c>
      <c r="D4" s="6">
        <f>VLOOKUP(A4,'Inventory Data'!A:G,7,0)</f>
        <v>55</v>
      </c>
    </row>
    <row r="5" spans="1:4" x14ac:dyDescent="0.25">
      <c r="A5" s="4" t="s">
        <v>78</v>
      </c>
      <c r="B5" s="5" t="str">
        <f>VLOOKUP(A5,'Inventory Data'!A:G,2,0)</f>
        <v>USB Cable</v>
      </c>
      <c r="C5" s="6" t="str">
        <f>VLOOKUP(A5,'Inventory Data'!A:G,3,0)</f>
        <v>Accessories</v>
      </c>
      <c r="D5" s="6">
        <f>VLOOKUP(A5,'Inventory Data'!A:G,7,0)</f>
        <v>160</v>
      </c>
    </row>
    <row r="6" spans="1:4" x14ac:dyDescent="0.25">
      <c r="A6" s="4" t="s">
        <v>75</v>
      </c>
      <c r="B6" s="5" t="str">
        <f>VLOOKUP(A6,'Inventory Data'!A:G,2,0)</f>
        <v>Charger Type B</v>
      </c>
      <c r="C6" s="6" t="str">
        <f>VLOOKUP(A6,'Inventory Data'!A:G,3,0)</f>
        <v>Accessories</v>
      </c>
      <c r="D6" s="6">
        <f>VLOOKUP(A6,'Inventory Data'!A:G,7,0)</f>
        <v>50</v>
      </c>
    </row>
    <row r="7" spans="1:4" x14ac:dyDescent="0.25">
      <c r="A7" s="4" t="s">
        <v>79</v>
      </c>
      <c r="B7" s="5" t="str">
        <f>VLOOKUP(A7,'Inventory Data'!A:G,2,0)</f>
        <v>Earphones A</v>
      </c>
      <c r="C7" s="6" t="str">
        <f>VLOOKUP(A7,'Inventory Data'!A:G,3,0)</f>
        <v>Accessories</v>
      </c>
      <c r="D7" s="6">
        <f>VLOOKUP(A7,'Inventory Data'!A:G,7,0)</f>
        <v>110</v>
      </c>
    </row>
    <row r="8" spans="1:4" x14ac:dyDescent="0.25">
      <c r="A8" s="4" t="s">
        <v>77</v>
      </c>
      <c r="B8" s="5" t="str">
        <f>VLOOKUP(A8,'Inventory Data'!A:G,2,0)</f>
        <v>Earphones B</v>
      </c>
      <c r="C8" s="6" t="str">
        <f>VLOOKUP(A8,'Inventory Data'!A:G,3,0)</f>
        <v>Accessories</v>
      </c>
      <c r="D8" s="6">
        <f>VLOOKUP(A8,'Inventory Data'!A:G,7,0)</f>
        <v>20</v>
      </c>
    </row>
    <row r="9" spans="1:4" x14ac:dyDescent="0.25">
      <c r="A9" s="4" t="s">
        <v>80</v>
      </c>
      <c r="B9" s="5" t="str">
        <f>VLOOKUP(A9,'Inventory Data'!A:G,2,0)</f>
        <v>Bluetooth Headset</v>
      </c>
      <c r="C9" s="6" t="str">
        <f>VLOOKUP(A9,'Inventory Data'!A:G,3,0)</f>
        <v>Accessories</v>
      </c>
      <c r="D9" s="6">
        <f>VLOOKUP(A9,'Inventory Data'!A:G,7,0)</f>
        <v>60</v>
      </c>
    </row>
    <row r="10" spans="1:4" x14ac:dyDescent="0.25">
      <c r="A10" s="4" t="s">
        <v>81</v>
      </c>
      <c r="B10" s="5" t="str">
        <f>VLOOKUP(A10,'Inventory Data'!A:G,2,0)</f>
        <v>Power Bank</v>
      </c>
      <c r="C10" s="6" t="str">
        <f>VLOOKUP(A10,'Inventory Data'!A:G,3,0)</f>
        <v>Accessories</v>
      </c>
      <c r="D10" s="6">
        <f>VLOOKUP(A10,'Inventory Data'!A:G,7,0)</f>
        <v>65</v>
      </c>
    </row>
    <row r="11" spans="1:4" x14ac:dyDescent="0.25">
      <c r="A11" s="4" t="s">
        <v>82</v>
      </c>
      <c r="B11" s="5" t="str">
        <f>VLOOKUP(A11,'Inventory Data'!A:G,2,0)</f>
        <v>Mobile cover A</v>
      </c>
      <c r="C11" s="6" t="str">
        <f>VLOOKUP(A11,'Inventory Data'!A:G,3,0)</f>
        <v>Accessories</v>
      </c>
      <c r="D11" s="6">
        <f>VLOOKUP(A11,'Inventory Data'!A:G,7,0)</f>
        <v>5</v>
      </c>
    </row>
    <row r="12" spans="1:4" x14ac:dyDescent="0.25">
      <c r="A12" s="4" t="s">
        <v>83</v>
      </c>
      <c r="B12" s="5" t="str">
        <f>VLOOKUP(A12,'Inventory Data'!A:G,2,0)</f>
        <v>Mobile cover B</v>
      </c>
      <c r="C12" s="6" t="str">
        <f>VLOOKUP(A12,'Inventory Data'!A:G,3,0)</f>
        <v>Accessories</v>
      </c>
      <c r="D12" s="6">
        <f>VLOOKUP(A12,'Inventory Data'!A:G,7,0)</f>
        <v>30</v>
      </c>
    </row>
    <row r="13" spans="1:4" x14ac:dyDescent="0.25">
      <c r="A13" s="4" t="s">
        <v>84</v>
      </c>
      <c r="B13" s="5" t="str">
        <f>VLOOKUP(A13,'Inventory Data'!A:G,2,0)</f>
        <v>Screen Guard</v>
      </c>
      <c r="C13" s="6" t="str">
        <f>VLOOKUP(A13,'Inventory Data'!A:G,3,0)</f>
        <v>Accessories</v>
      </c>
      <c r="D13" s="6">
        <f>VLOOKUP(A13,'Inventory Data'!A:G,7,0)</f>
        <v>10</v>
      </c>
    </row>
    <row r="14" spans="1:4" x14ac:dyDescent="0.25">
      <c r="A14" s="4" t="s">
        <v>85</v>
      </c>
      <c r="B14" s="5" t="str">
        <f>VLOOKUP(A14,'Inventory Data'!A:G,2,0)</f>
        <v>Tempered Glass</v>
      </c>
      <c r="C14" s="6" t="str">
        <f>VLOOKUP(A14,'Inventory Data'!A:G,3,0)</f>
        <v>Accessories</v>
      </c>
      <c r="D14" s="6">
        <f>VLOOKUP(A14,'Inventory Data'!A:G,7,0)</f>
        <v>170</v>
      </c>
    </row>
    <row r="15" spans="1:4" x14ac:dyDescent="0.25">
      <c r="A15" s="4" t="s">
        <v>86</v>
      </c>
      <c r="B15" s="5" t="str">
        <f>VLOOKUP(A15,'Inventory Data'!A:G,2,0)</f>
        <v>Mobile Stand</v>
      </c>
      <c r="C15" s="6" t="str">
        <f>VLOOKUP(A15,'Inventory Data'!A:G,3,0)</f>
        <v>Accessories</v>
      </c>
      <c r="D15" s="6">
        <f>VLOOKUP(A15,'Inventory Data'!A:G,7,0)</f>
        <v>20</v>
      </c>
    </row>
    <row r="16" spans="1:4" x14ac:dyDescent="0.25">
      <c r="A16" s="4" t="s">
        <v>87</v>
      </c>
      <c r="B16" s="5" t="str">
        <f>VLOOKUP(A16,'Inventory Data'!A:G,2,0)</f>
        <v>Laptop Bag</v>
      </c>
      <c r="C16" s="6" t="str">
        <f>VLOOKUP(A16,'Inventory Data'!A:G,3,0)</f>
        <v>Accessories</v>
      </c>
      <c r="D16" s="6">
        <f>VLOOKUP(A16,'Inventory Data'!A:G,7,0)</f>
        <v>40</v>
      </c>
    </row>
    <row r="17" spans="1:4" x14ac:dyDescent="0.25">
      <c r="A17" s="4" t="s">
        <v>48</v>
      </c>
      <c r="B17" s="5" t="str">
        <f>VLOOKUP(A17,'Inventory Data'!A:G,2,0)</f>
        <v>Tablet A</v>
      </c>
      <c r="C17" s="6" t="str">
        <f>VLOOKUP(A17,'Inventory Data'!A:G,3,0)</f>
        <v>Electronics</v>
      </c>
      <c r="D17" s="6">
        <f>VLOOKUP(A17,'Inventory Data'!A:G,7,0)</f>
        <v>55</v>
      </c>
    </row>
    <row r="18" spans="1:4" x14ac:dyDescent="0.25">
      <c r="A18" s="4" t="s">
        <v>51</v>
      </c>
      <c r="B18" s="5" t="str">
        <f>VLOOKUP(A18,'Inventory Data'!A:G,2,0)</f>
        <v>Laptop B</v>
      </c>
      <c r="C18" s="6" t="str">
        <f>VLOOKUP(A18,'Inventory Data'!A:G,3,0)</f>
        <v>Electronics</v>
      </c>
      <c r="D18" s="6">
        <f>VLOOKUP(A18,'Inventory Data'!A:G,7,0)</f>
        <v>35</v>
      </c>
    </row>
    <row r="19" spans="1:4" x14ac:dyDescent="0.25">
      <c r="A19" s="4" t="s">
        <v>52</v>
      </c>
      <c r="B19" s="5" t="str">
        <f>VLOOKUP(A19,'Inventory Data'!A:G,2,0)</f>
        <v>Laptop C</v>
      </c>
      <c r="C19" s="6" t="str">
        <f>VLOOKUP(A19,'Inventory Data'!A:G,3,0)</f>
        <v>Electronics</v>
      </c>
      <c r="D19" s="6">
        <f>VLOOKUP(A19,'Inventory Data'!A:G,7,0)</f>
        <v>45</v>
      </c>
    </row>
    <row r="20" spans="1:4" x14ac:dyDescent="0.25">
      <c r="A20" s="4" t="s">
        <v>53</v>
      </c>
      <c r="B20" s="5" t="str">
        <f>VLOOKUP(A20,'Inventory Data'!A:G,2,0)</f>
        <v xml:space="preserve">Television </v>
      </c>
      <c r="C20" s="6" t="str">
        <f>VLOOKUP(A20,'Inventory Data'!A:G,3,0)</f>
        <v>Electronics</v>
      </c>
      <c r="D20" s="6">
        <f>VLOOKUP(A20,'Inventory Data'!A:G,7,0)</f>
        <v>70</v>
      </c>
    </row>
    <row r="21" spans="1:4" x14ac:dyDescent="0.25">
      <c r="A21" s="4" t="s">
        <v>54</v>
      </c>
      <c r="B21" s="5" t="str">
        <f>VLOOKUP(A21,'Inventory Data'!A:G,2,0)</f>
        <v>Tablet AB</v>
      </c>
      <c r="C21" s="6" t="str">
        <f>VLOOKUP(A21,'Inventory Data'!A:G,3,0)</f>
        <v>Electronics</v>
      </c>
      <c r="D21" s="6">
        <f>VLOOKUP(A21,'Inventory Data'!A:G,7,0)</f>
        <v>0</v>
      </c>
    </row>
    <row r="22" spans="1:4" x14ac:dyDescent="0.25">
      <c r="A22" s="4" t="s">
        <v>55</v>
      </c>
      <c r="B22" s="5" t="str">
        <f>VLOOKUP(A22,'Inventory Data'!A:G,2,0)</f>
        <v>Printer A</v>
      </c>
      <c r="C22" s="6" t="str">
        <f>VLOOKUP(A22,'Inventory Data'!A:G,3,0)</f>
        <v>Electronics</v>
      </c>
      <c r="D22" s="6">
        <f>VLOOKUP(A22,'Inventory Data'!A:G,7,0)</f>
        <v>30</v>
      </c>
    </row>
    <row r="23" spans="1:4" x14ac:dyDescent="0.25">
      <c r="A23" s="4" t="s">
        <v>59</v>
      </c>
      <c r="B23" s="5" t="str">
        <f>VLOOKUP(A23,'Inventory Data'!A:G,2,0)</f>
        <v>Printer B</v>
      </c>
      <c r="C23" s="6" t="str">
        <f>VLOOKUP(A23,'Inventory Data'!A:G,3,0)</f>
        <v>Electronics</v>
      </c>
      <c r="D23" s="6">
        <f>VLOOKUP(A23,'Inventory Data'!A:G,7,0)</f>
        <v>25</v>
      </c>
    </row>
    <row r="24" spans="1:4" x14ac:dyDescent="0.25">
      <c r="A24" s="4" t="s">
        <v>63</v>
      </c>
      <c r="B24" s="5" t="str">
        <f>VLOOKUP(A24,'Inventory Data'!A:G,2,0)</f>
        <v>Tablet B</v>
      </c>
      <c r="C24" s="6" t="str">
        <f>VLOOKUP(A24,'Inventory Data'!A:G,3,0)</f>
        <v>Electronics</v>
      </c>
      <c r="D24" s="6">
        <f>VLOOKUP(A24,'Inventory Data'!A:G,7,0)</f>
        <v>45</v>
      </c>
    </row>
    <row r="25" spans="1:4" x14ac:dyDescent="0.25">
      <c r="A25" s="4" t="s">
        <v>65</v>
      </c>
      <c r="B25" s="5" t="str">
        <f>VLOOKUP(A25,'Inventory Data'!A:G,2,0)</f>
        <v>Webcam</v>
      </c>
      <c r="C25" s="6" t="str">
        <f>VLOOKUP(A25,'Inventory Data'!A:G,3,0)</f>
        <v>Electronics</v>
      </c>
      <c r="D25" s="6">
        <f>VLOOKUP(A25,'Inventory Data'!A:G,7,0)</f>
        <v>35</v>
      </c>
    </row>
    <row r="26" spans="1:4" x14ac:dyDescent="0.25">
      <c r="A26" s="4" t="s">
        <v>66</v>
      </c>
      <c r="B26" s="5" t="str">
        <f>VLOOKUP(A26,'Inventory Data'!A:G,2,0)</f>
        <v>Mobile A</v>
      </c>
      <c r="C26" s="6" t="str">
        <f>VLOOKUP(A26,'Inventory Data'!A:G,3,0)</f>
        <v>Electronics</v>
      </c>
      <c r="D26" s="6">
        <f>VLOOKUP(A26,'Inventory Data'!A:G,7,0)</f>
        <v>70</v>
      </c>
    </row>
    <row r="27" spans="1:4" x14ac:dyDescent="0.25">
      <c r="A27" s="4" t="s">
        <v>67</v>
      </c>
      <c r="B27" s="5" t="str">
        <f>VLOOKUP(A27,'Inventory Data'!A:G,2,0)</f>
        <v>Mobile B</v>
      </c>
      <c r="C27" s="6" t="str">
        <f>VLOOKUP(A27,'Inventory Data'!A:G,3,0)</f>
        <v>Electronics</v>
      </c>
      <c r="D27" s="6">
        <f>VLOOKUP(A27,'Inventory Data'!A:G,7,0)</f>
        <v>60</v>
      </c>
    </row>
    <row r="28" spans="1:4" x14ac:dyDescent="0.25">
      <c r="A28" s="4" t="s">
        <v>68</v>
      </c>
      <c r="B28" s="5" t="str">
        <f>VLOOKUP(A28,'Inventory Data'!A:G,2,0)</f>
        <v>Router</v>
      </c>
      <c r="C28" s="6" t="str">
        <f>VLOOKUP(A28,'Inventory Data'!A:G,3,0)</f>
        <v>Electronics</v>
      </c>
      <c r="D28" s="6">
        <f>VLOOKUP(A28,'Inventory Data'!A:G,7,0)</f>
        <v>35</v>
      </c>
    </row>
    <row r="29" spans="1:4" x14ac:dyDescent="0.25">
      <c r="A29" s="4" t="s">
        <v>69</v>
      </c>
      <c r="B29" s="5" t="str">
        <f>VLOOKUP(A29,'Inventory Data'!A:G,2,0)</f>
        <v>Air Conditioner (a)</v>
      </c>
      <c r="C29" s="6" t="str">
        <f>VLOOKUP(A29,'Inventory Data'!A:G,3,0)</f>
        <v>Electronics</v>
      </c>
      <c r="D29" s="6">
        <f>VLOOKUP(A29,'Inventory Data'!A:G,7,0)</f>
        <v>45</v>
      </c>
    </row>
    <row r="30" spans="1:4" x14ac:dyDescent="0.25">
      <c r="A30" s="4" t="s">
        <v>70</v>
      </c>
      <c r="B30" s="5" t="str">
        <f>VLOOKUP(A30,'Inventory Data'!A:G,2,0)</f>
        <v>Air Conditioner (b)</v>
      </c>
      <c r="C30" s="6" t="str">
        <f>VLOOKUP(A30,'Inventory Data'!A:G,3,0)</f>
        <v>Electronics</v>
      </c>
      <c r="D30" s="6">
        <f>VLOOKUP(A30,'Inventory Data'!A:G,7,0)</f>
        <v>45</v>
      </c>
    </row>
    <row r="31" spans="1:4" x14ac:dyDescent="0.25">
      <c r="A31" s="4" t="s">
        <v>71</v>
      </c>
      <c r="B31" s="5" t="str">
        <f>VLOOKUP(A31,'Inventory Data'!A:G,2,0)</f>
        <v>Monitor A</v>
      </c>
      <c r="C31" s="6" t="str">
        <f>VLOOKUP(A31,'Inventory Data'!A:G,3,0)</f>
        <v>Electronics</v>
      </c>
      <c r="D31" s="6">
        <f>VLOOKUP(A31,'Inventory Data'!A:G,7,0)</f>
        <v>35</v>
      </c>
    </row>
    <row r="32" spans="1:4" x14ac:dyDescent="0.25">
      <c r="A32" s="4" t="s">
        <v>72</v>
      </c>
      <c r="B32" s="5" t="str">
        <f>VLOOKUP(A32,'Inventory Data'!A:G,2,0)</f>
        <v>Monitor B</v>
      </c>
      <c r="C32" s="6" t="str">
        <f>VLOOKUP(A32,'Inventory Data'!A:G,3,0)</f>
        <v>Electronics</v>
      </c>
      <c r="D32" s="6">
        <f>VLOOKUP(A32,'Inventory Data'!A:G,7,0)</f>
        <v>10</v>
      </c>
    </row>
    <row r="33" spans="1:4" x14ac:dyDescent="0.25">
      <c r="A33" s="4" t="s">
        <v>73</v>
      </c>
      <c r="B33" s="5" t="str">
        <f>VLOOKUP(A33,'Inventory Data'!A:G,2,0)</f>
        <v>Laptop A</v>
      </c>
      <c r="C33" s="6" t="str">
        <f>VLOOKUP(A33,'Inventory Data'!A:G,3,0)</f>
        <v>Electronics</v>
      </c>
      <c r="D33" s="6">
        <f>VLOOKUP(A33,'Inventory Data'!A:G,7,0)</f>
        <v>45</v>
      </c>
    </row>
    <row r="34" spans="1:4" x14ac:dyDescent="0.25">
      <c r="A34" s="4" t="s">
        <v>49</v>
      </c>
      <c r="B34" s="5" t="str">
        <f>VLOOKUP(A34,'Inventory Data'!A:G,2,0)</f>
        <v>Office Chair</v>
      </c>
      <c r="C34" s="6" t="str">
        <f>VLOOKUP(A34,'Inventory Data'!A:G,3,0)</f>
        <v>Furniture</v>
      </c>
      <c r="D34" s="6">
        <f>VLOOKUP(A34,'Inventory Data'!A:G,7,0)</f>
        <v>20</v>
      </c>
    </row>
    <row r="35" spans="1:4" x14ac:dyDescent="0.25">
      <c r="A35" s="4" t="s">
        <v>56</v>
      </c>
      <c r="B35" s="5" t="str">
        <f>VLOOKUP(A35,'Inventory Data'!A:G,2,0)</f>
        <v>Work Desk</v>
      </c>
      <c r="C35" s="6" t="str">
        <f>VLOOKUP(A35,'Inventory Data'!A:G,3,0)</f>
        <v>Furniture</v>
      </c>
      <c r="D35" s="6">
        <f>VLOOKUP(A35,'Inventory Data'!A:G,7,0)</f>
        <v>45</v>
      </c>
    </row>
    <row r="36" spans="1:4" x14ac:dyDescent="0.25">
      <c r="A36" s="4" t="s">
        <v>61</v>
      </c>
      <c r="B36" s="5" t="str">
        <f>VLOOKUP(A36,'Inventory Data'!A:G,2,0)</f>
        <v>Computer Table</v>
      </c>
      <c r="C36" s="6" t="str">
        <f>VLOOKUP(A36,'Inventory Data'!A:G,3,0)</f>
        <v>Furniture</v>
      </c>
      <c r="D36" s="6">
        <f>VLOOKUP(A36,'Inventory Data'!A:G,7,0)</f>
        <v>35</v>
      </c>
    </row>
    <row r="37" spans="1:4" x14ac:dyDescent="0.25">
      <c r="A37" s="4" t="s">
        <v>62</v>
      </c>
      <c r="B37" s="5" t="str">
        <f>VLOOKUP(A37,'Inventory Data'!A:G,2,0)</f>
        <v>Storage Cabinet</v>
      </c>
      <c r="C37" s="6" t="str">
        <f>VLOOKUP(A37,'Inventory Data'!A:G,3,0)</f>
        <v>Furniture</v>
      </c>
      <c r="D37" s="6">
        <f>VLOOKUP(A37,'Inventory Data'!A:G,7,0)</f>
        <v>70</v>
      </c>
    </row>
    <row r="38" spans="1:4" x14ac:dyDescent="0.25">
      <c r="A38" s="4" t="s">
        <v>74</v>
      </c>
      <c r="B38" s="5" t="str">
        <f>VLOOKUP(A38,'Inventory Data'!A:G,2,0)</f>
        <v>Drawer Unit</v>
      </c>
      <c r="C38" s="6" t="str">
        <f>VLOOKUP(A38,'Inventory Data'!A:G,3,0)</f>
        <v>Furniture</v>
      </c>
      <c r="D38" s="6">
        <f>VLOOKUP(A38,'Inventory Data'!A:G,7,0)</f>
        <v>30</v>
      </c>
    </row>
    <row r="39" spans="1:4" x14ac:dyDescent="0.25">
      <c r="A39" s="4" t="s">
        <v>76</v>
      </c>
      <c r="B39" s="5" t="str">
        <f>VLOOKUP(A39,'Inventory Data'!A:G,2,0)</f>
        <v>Bookshelf</v>
      </c>
      <c r="C39" s="6" t="str">
        <f>VLOOKUP(A39,'Inventory Data'!A:G,3,0)</f>
        <v>Furniture</v>
      </c>
      <c r="D39" s="6">
        <f>VLOOKUP(A39,'Inventory Data'!A:G,7,0)</f>
        <v>30</v>
      </c>
    </row>
    <row r="40" spans="1:4" x14ac:dyDescent="0.25">
      <c r="A40" s="4" t="s">
        <v>60</v>
      </c>
      <c r="B40" s="5" t="str">
        <f>VLOOKUP(A40,'Inventory Data'!A:G,2,0)</f>
        <v>File Rack</v>
      </c>
      <c r="C40" s="6" t="str">
        <f>VLOOKUP(A40,'Inventory Data'!A:G,3,0)</f>
        <v>Furniture</v>
      </c>
      <c r="D40" s="6">
        <f>VLOOKUP(A40,'Inventory Data'!A:G,7,0)</f>
        <v>20</v>
      </c>
    </row>
    <row r="41" spans="1:4" x14ac:dyDescent="0.25">
      <c r="A41" s="4" t="s">
        <v>64</v>
      </c>
      <c r="B41" s="5" t="str">
        <f>VLOOKUP(A41,'Inventory Data'!A:G,2,0)</f>
        <v>Visitor Chair</v>
      </c>
      <c r="C41" s="6" t="str">
        <f>VLOOKUP(A41,'Inventory Data'!A:G,3,0)</f>
        <v>Furniture</v>
      </c>
      <c r="D41" s="6">
        <f>VLOOKUP(A41,'Inventory Data'!A:G,7,0)</f>
        <v>55</v>
      </c>
    </row>
    <row r="42" spans="1:4" x14ac:dyDescent="0.25">
      <c r="A42" s="4" t="s">
        <v>88</v>
      </c>
      <c r="B42" s="5" t="str">
        <f>VLOOKUP(A42,'Inventory Data'!A:G,2,0)</f>
        <v>Adapter</v>
      </c>
      <c r="C42" s="6" t="str">
        <f>VLOOKUP(A42,'Inventory Data'!A:G,3,0)</f>
        <v>Office/Utility Items</v>
      </c>
      <c r="D42" s="6">
        <f>VLOOKUP(A42,'Inventory Data'!A:G,7,0)</f>
        <v>5</v>
      </c>
    </row>
    <row r="43" spans="1:4" x14ac:dyDescent="0.25">
      <c r="A43" s="4" t="s">
        <v>89</v>
      </c>
      <c r="B43" s="5" t="str">
        <f>VLOOKUP(A43,'Inventory Data'!A:G,2,0)</f>
        <v>Wireless Mouse</v>
      </c>
      <c r="C43" s="6" t="str">
        <f>VLOOKUP(A43,'Inventory Data'!A:G,3,0)</f>
        <v>Office/Utility Items</v>
      </c>
      <c r="D43" s="6">
        <f>VLOOKUP(A43,'Inventory Data'!A:G,7,0)</f>
        <v>80</v>
      </c>
    </row>
    <row r="44" spans="1:4" x14ac:dyDescent="0.25">
      <c r="A44" s="4" t="s">
        <v>90</v>
      </c>
      <c r="B44" s="5" t="str">
        <f>VLOOKUP(A44,'Inventory Data'!A:G,2,0)</f>
        <v>Wireless Keyboard</v>
      </c>
      <c r="C44" s="6" t="str">
        <f>VLOOKUP(A44,'Inventory Data'!A:G,3,0)</f>
        <v>Office/Utility Items</v>
      </c>
      <c r="D44" s="6">
        <f>VLOOKUP(A44,'Inventory Data'!A:G,7,0)</f>
        <v>80</v>
      </c>
    </row>
    <row r="45" spans="1:4" x14ac:dyDescent="0.25">
      <c r="A45" s="4" t="s">
        <v>91</v>
      </c>
      <c r="B45" s="5" t="str">
        <f>VLOOKUP(A45,'Inventory Data'!A:G,2,0)</f>
        <v>Keyboard</v>
      </c>
      <c r="C45" s="6" t="str">
        <f>VLOOKUP(A45,'Inventory Data'!A:G,3,0)</f>
        <v>Office/Utility Items</v>
      </c>
      <c r="D45" s="6">
        <f>VLOOKUP(A45,'Inventory Data'!A:G,7,0)</f>
        <v>65</v>
      </c>
    </row>
    <row r="46" spans="1:4" x14ac:dyDescent="0.25">
      <c r="A46" s="4" t="s">
        <v>92</v>
      </c>
      <c r="B46" s="5" t="str">
        <f>VLOOKUP(A46,'Inventory Data'!A:G,2,0)</f>
        <v>LAN Cable</v>
      </c>
      <c r="C46" s="6" t="str">
        <f>VLOOKUP(A46,'Inventory Data'!A:G,3,0)</f>
        <v>Office/Utility Items</v>
      </c>
      <c r="D46" s="6">
        <f>VLOOKUP(A46,'Inventory Data'!A:G,7,0)</f>
        <v>40</v>
      </c>
    </row>
    <row r="47" spans="1:4" x14ac:dyDescent="0.25">
      <c r="A47" s="4" t="s">
        <v>93</v>
      </c>
      <c r="B47" s="5" t="str">
        <f>VLOOKUP(A47,'Inventory Data'!A:G,2,0)</f>
        <v>Pen drive 16GB</v>
      </c>
      <c r="C47" s="6" t="str">
        <f>VLOOKUP(A47,'Inventory Data'!A:G,3,0)</f>
        <v>Office/Utility Items</v>
      </c>
      <c r="D47" s="6">
        <f>VLOOKUP(A47,'Inventory Data'!A:G,7,0)</f>
        <v>80</v>
      </c>
    </row>
    <row r="48" spans="1:4" x14ac:dyDescent="0.25">
      <c r="A48" s="4" t="s">
        <v>94</v>
      </c>
      <c r="B48" s="5" t="str">
        <f>VLOOKUP(A48,'Inventory Data'!A:G,2,0)</f>
        <v>Pen drive 32GB</v>
      </c>
      <c r="C48" s="6" t="str">
        <f>VLOOKUP(A48,'Inventory Data'!A:G,3,0)</f>
        <v>Office/Utility Items</v>
      </c>
      <c r="D48" s="6">
        <f>VLOOKUP(A48,'Inventory Data'!A:G,7,0)</f>
        <v>95</v>
      </c>
    </row>
    <row r="49" spans="1:4" x14ac:dyDescent="0.25">
      <c r="A49" s="4" t="s">
        <v>95</v>
      </c>
      <c r="B49" s="5" t="str">
        <f>VLOOKUP(A49,'Inventory Data'!A:G,2,0)</f>
        <v>External Hard Disk</v>
      </c>
      <c r="C49" s="6" t="str">
        <f>VLOOKUP(A49,'Inventory Data'!A:G,3,0)</f>
        <v>Office/Utility Items</v>
      </c>
      <c r="D49" s="6">
        <f>VLOOKUP(A49,'Inventory Data'!A:G,7,0)</f>
        <v>25</v>
      </c>
    </row>
    <row r="50" spans="1:4" x14ac:dyDescent="0.25">
      <c r="A50" s="4" t="s">
        <v>96</v>
      </c>
      <c r="B50" s="5" t="str">
        <f>VLOOKUP(A50,'Inventory Data'!A:G,2,0)</f>
        <v>Memory Card</v>
      </c>
      <c r="C50" s="6" t="str">
        <f>VLOOKUP(A50,'Inventory Data'!A:G,3,0)</f>
        <v>Office/Utility Items</v>
      </c>
      <c r="D50" s="6">
        <f>VLOOKUP(A50,'Inventory Data'!A:G,7,0)</f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showGridLines="0" tabSelected="1" workbookViewId="0">
      <selection activeCell="A6" sqref="A6"/>
    </sheetView>
  </sheetViews>
  <sheetFormatPr defaultRowHeight="15" x14ac:dyDescent="0.25"/>
  <cols>
    <col min="1" max="1" width="28.85546875" customWidth="1"/>
    <col min="2" max="2" width="19" style="7" customWidth="1"/>
    <col min="3" max="3" width="10.5703125" style="7" customWidth="1"/>
    <col min="15" max="15" width="11.140625" customWidth="1"/>
  </cols>
  <sheetData>
    <row r="1" spans="1:15" ht="36.75" customHeight="1" x14ac:dyDescent="0.25">
      <c r="A1" s="34" t="s">
        <v>113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1" x14ac:dyDescent="0.35">
      <c r="A2" s="32" t="s">
        <v>112</v>
      </c>
      <c r="B2" s="33" t="s">
        <v>17</v>
      </c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x14ac:dyDescent="0.25">
      <c r="A3" s="17"/>
      <c r="B3" s="18"/>
      <c r="C3" s="24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</row>
    <row r="4" spans="1:15" x14ac:dyDescent="0.25">
      <c r="A4" s="17"/>
      <c r="B4" s="18"/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6"/>
    </row>
    <row r="5" spans="1:15" ht="23.25" x14ac:dyDescent="0.35">
      <c r="A5" s="30" t="s">
        <v>110</v>
      </c>
      <c r="B5" s="31" t="s">
        <v>111</v>
      </c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</row>
    <row r="6" spans="1:15" x14ac:dyDescent="0.25">
      <c r="A6" s="17" t="str">
        <f t="array" ref="A6">IFERROR(INDEX('Summary Sheet'!B:B,SMALL(IF('Summary Sheet'!C:C=$B$2,ROW('Summary Sheet'!B:B)),ROW(A1))), "")</f>
        <v>Charger Type C</v>
      </c>
      <c r="B6" s="18">
        <f>IF(A6=" ", " ", INDEX('Summary Sheet'!D:D,MATCH(A6,'Summary Sheet'!B:B,0)))</f>
        <v>120</v>
      </c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6"/>
    </row>
    <row r="7" spans="1:15" x14ac:dyDescent="0.25">
      <c r="A7" s="17" t="str">
        <f t="array" ref="A7">IFERROR(INDEX('Summary Sheet'!B:B,SMALL(IF('Summary Sheet'!C:C=$B$2,ROW('Summary Sheet'!B:B)),ROW(A2))), "")</f>
        <v>Charger Type A</v>
      </c>
      <c r="B7" s="18">
        <f>IF(A7=" ", " ", INDEX('Summary Sheet'!D:D,MATCH(A7,'Summary Sheet'!B:B,0)))</f>
        <v>120</v>
      </c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</row>
    <row r="8" spans="1:15" x14ac:dyDescent="0.25">
      <c r="A8" s="17" t="str">
        <f t="array" ref="A8">IFERROR(INDEX('Summary Sheet'!B:B,SMALL(IF('Summary Sheet'!C:C=$B$2,ROW('Summary Sheet'!B:B)),ROW(A3))), "")</f>
        <v xml:space="preserve">Headphones </v>
      </c>
      <c r="B8" s="18">
        <f>IF(A8=" ", " ", INDEX('Summary Sheet'!D:D,MATCH(A8,'Summary Sheet'!B:B,0)))</f>
        <v>55</v>
      </c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</row>
    <row r="9" spans="1:15" x14ac:dyDescent="0.25">
      <c r="A9" s="17" t="str">
        <f t="array" ref="A9">IFERROR(INDEX('Summary Sheet'!B:B,SMALL(IF('Summary Sheet'!C:C=$B$2,ROW('Summary Sheet'!B:B)),ROW(A4))), "")</f>
        <v>USB Cable</v>
      </c>
      <c r="B9" s="18">
        <f>IF(A9=" ", " ", INDEX('Summary Sheet'!D:D,MATCH(A9,'Summary Sheet'!B:B,0)))</f>
        <v>160</v>
      </c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6"/>
    </row>
    <row r="10" spans="1:15" x14ac:dyDescent="0.25">
      <c r="A10" s="17" t="str">
        <f t="array" ref="A10">IFERROR(INDEX('Summary Sheet'!B:B,SMALL(IF('Summary Sheet'!C:C=$B$2,ROW('Summary Sheet'!B:B)),ROW(A5))), "")</f>
        <v>Charger Type B</v>
      </c>
      <c r="B10" s="18">
        <f>IF(A10=" ", " ", INDEX('Summary Sheet'!D:D,MATCH(A10,'Summary Sheet'!B:B,0)))</f>
        <v>50</v>
      </c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</row>
    <row r="11" spans="1:15" x14ac:dyDescent="0.25">
      <c r="A11" s="17" t="str">
        <f t="array" ref="A11">IFERROR(INDEX('Summary Sheet'!B:B,SMALL(IF('Summary Sheet'!C:C=$B$2,ROW('Summary Sheet'!B:B)),ROW(A6))), "")</f>
        <v>Earphones A</v>
      </c>
      <c r="B11" s="18">
        <f>IF(A11=" ", " ", INDEX('Summary Sheet'!D:D,MATCH(A11,'Summary Sheet'!B:B,0)))</f>
        <v>110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6"/>
    </row>
    <row r="12" spans="1:15" x14ac:dyDescent="0.25">
      <c r="A12" s="17" t="str">
        <f t="array" ref="A12">IFERROR(INDEX('Summary Sheet'!B:B,SMALL(IF('Summary Sheet'!C:C=$B$2,ROW('Summary Sheet'!B:B)),ROW(A7))), "")</f>
        <v>Earphones B</v>
      </c>
      <c r="B12" s="18">
        <f>IF(A12=" ", " ", INDEX('Summary Sheet'!D:D,MATCH(A12,'Summary Sheet'!B:B,0)))</f>
        <v>20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1:15" x14ac:dyDescent="0.25">
      <c r="A13" s="17" t="str">
        <f t="array" ref="A13">IFERROR(INDEX('Summary Sheet'!B:B,SMALL(IF('Summary Sheet'!C:C=$B$2,ROW('Summary Sheet'!B:B)),ROW(A8))), "")</f>
        <v>Bluetooth Headset</v>
      </c>
      <c r="B13" s="18">
        <f>IF(A13=" ", " ", INDEX('Summary Sheet'!D:D,MATCH(A13,'Summary Sheet'!B:B,0)))</f>
        <v>60</v>
      </c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  <row r="14" spans="1:15" x14ac:dyDescent="0.25">
      <c r="A14" s="17" t="str">
        <f t="array" ref="A14">IFERROR(INDEX('Summary Sheet'!B:B,SMALL(IF('Summary Sheet'!C:C=$B$2,ROW('Summary Sheet'!B:B)),ROW(A9))), "")</f>
        <v>Power Bank</v>
      </c>
      <c r="B14" s="18">
        <f>IFERROR(VLOOKUP(A14,'Summary Sheet'!B:D,3,FALSE)," ")</f>
        <v>65</v>
      </c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6"/>
    </row>
    <row r="15" spans="1:15" x14ac:dyDescent="0.25">
      <c r="A15" s="17" t="str">
        <f t="array" ref="A15">IFERROR(INDEX('Summary Sheet'!B:B,SMALL(IF('Summary Sheet'!C:C=$B$2,ROW('Summary Sheet'!B:B)),ROW(A10))), "")</f>
        <v>Mobile cover A</v>
      </c>
      <c r="B15" s="18">
        <f>IFERROR(VLOOKUP(A15,'Summary Sheet'!B:D,3,FALSE)," ")</f>
        <v>5</v>
      </c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</row>
    <row r="16" spans="1:15" x14ac:dyDescent="0.25">
      <c r="A16" s="17" t="str">
        <f t="array" ref="A16">IFERROR(INDEX('Summary Sheet'!B:B,SMALL(IF('Summary Sheet'!C:C=$B$2,ROW('Summary Sheet'!B:B)),ROW(A11))), "")</f>
        <v>Mobile cover B</v>
      </c>
      <c r="B16" s="18">
        <f>IFERROR(VLOOKUP(A16,'Summary Sheet'!B:D,3,FALSE)," ")</f>
        <v>30</v>
      </c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</row>
    <row r="17" spans="1:15" x14ac:dyDescent="0.25">
      <c r="A17" s="17" t="str">
        <f t="array" ref="A17">IFERROR(INDEX('Summary Sheet'!B:B,SMALL(IF('Summary Sheet'!C:C=$B$2,ROW('Summary Sheet'!B:B)),ROW(A12))), "")</f>
        <v>Screen Guard</v>
      </c>
      <c r="B17" s="18">
        <f>IFERROR(VLOOKUP(A17,'Summary Sheet'!B:D,3,FALSE)," ")</f>
        <v>10</v>
      </c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</row>
    <row r="18" spans="1:15" x14ac:dyDescent="0.25">
      <c r="A18" s="17" t="str">
        <f t="array" ref="A18">IFERROR(INDEX('Summary Sheet'!B:B,SMALL(IF('Summary Sheet'!C:C=$B$2,ROW('Summary Sheet'!B:B)),ROW(A13))), "")</f>
        <v>Tempered Glass</v>
      </c>
      <c r="B18" s="18">
        <f>IFERROR(VLOOKUP(A18,'Summary Sheet'!B:D,3,FALSE)," ")</f>
        <v>170</v>
      </c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</row>
    <row r="19" spans="1:15" x14ac:dyDescent="0.25">
      <c r="A19" s="17" t="str">
        <f t="array" ref="A19">IFERROR(INDEX('Summary Sheet'!B:B,SMALL(IF('Summary Sheet'!C:C=$B$2,ROW('Summary Sheet'!B:B)),ROW(A14))), "")</f>
        <v>Mobile Stand</v>
      </c>
      <c r="B19" s="18">
        <f>IFERROR(VLOOKUP(A19,'Summary Sheet'!B:D,3,FALSE)," ")</f>
        <v>20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</row>
    <row r="20" spans="1:15" x14ac:dyDescent="0.25">
      <c r="A20" s="17" t="str">
        <f t="array" ref="A20">IFERROR(INDEX('Summary Sheet'!B:B,SMALL(IF('Summary Sheet'!C:C=$B$2,ROW('Summary Sheet'!B:B)),ROW(A15))), "")</f>
        <v>Laptop Bag</v>
      </c>
      <c r="B20" s="18">
        <f>IFERROR(VLOOKUP(A20,'Summary Sheet'!B:D,3,FALSE)," ")</f>
        <v>40</v>
      </c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1:15" x14ac:dyDescent="0.25">
      <c r="A21" s="17" t="str">
        <f t="array" ref="A21">IFERROR(INDEX('Summary Sheet'!B:B,SMALL(IF('Summary Sheet'!C:C=$B$2,ROW('Summary Sheet'!B:B)),ROW(A16))), "")</f>
        <v/>
      </c>
      <c r="B21" s="18" t="str">
        <f>IFERROR(VLOOKUP(A21,'Summary Sheet'!B:D,3,FALSE)," ")</f>
        <v xml:space="preserve"> </v>
      </c>
      <c r="C21" s="24" t="str">
        <f>IFERROR(INDEX('Summary Sheet'!D:D,MATCH(A21,'Summary Sheet'!B:B,0))," ")</f>
        <v xml:space="preserve"> 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6"/>
    </row>
    <row r="22" spans="1:15" x14ac:dyDescent="0.25">
      <c r="A22" s="17" t="str">
        <f t="array" ref="A22">IFERROR(INDEX('Summary Sheet'!B:B,SMALL(IF('Summary Sheet'!C:C=$B$2,ROW('Summary Sheet'!B:B)),ROW(A17))), "")</f>
        <v/>
      </c>
      <c r="B22" s="18" t="str">
        <f>IFERROR(VLOOKUP(A22,'Summary Sheet'!B:D,3,FALSE)," ")</f>
        <v xml:space="preserve"> </v>
      </c>
      <c r="C22" s="24" t="str">
        <f>IFERROR(INDEX('Summary Sheet'!D:D,MATCH(A22,'Summary Sheet'!B:B,0))," ")</f>
        <v xml:space="preserve"> 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</row>
    <row r="23" spans="1:15" x14ac:dyDescent="0.25">
      <c r="A23" s="17" t="str">
        <f t="array" ref="A23">IFERROR(INDEX('Summary Sheet'!B:B,SMALL(IF('Summary Sheet'!C:C=$B$2,ROW('Summary Sheet'!B:B)),ROW(A18))), "")</f>
        <v/>
      </c>
      <c r="B23" s="18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</row>
    <row r="24" spans="1:15" x14ac:dyDescent="0.25">
      <c r="A24" s="17" t="str">
        <f t="array" ref="A24">IFERROR(INDEX('Summary Sheet'!B:B,SMALL(IF('Summary Sheet'!C:C=$B$2,ROW('Summary Sheet'!B:B)),ROW(A19))), "")</f>
        <v/>
      </c>
      <c r="B24" s="18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</row>
    <row r="25" spans="1:15" x14ac:dyDescent="0.25">
      <c r="A25" s="17" t="str">
        <f t="array" ref="A25">IFERROR(INDEX('Summary Sheet'!B:B,SMALL(IF('Summary Sheet'!C:C=$B$2,ROW('Summary Sheet'!B:B)),ROW(A21))), "")</f>
        <v/>
      </c>
      <c r="B25" s="18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</row>
    <row r="26" spans="1:15" x14ac:dyDescent="0.25">
      <c r="A26" s="17" t="str">
        <f t="array" ref="A26">IFERROR(INDEX('Summary Sheet'!B:B,SMALL(IF('Summary Sheet'!C:C=$B$2,ROW('Summary Sheet'!B:B)),ROW(A22))), "")</f>
        <v/>
      </c>
      <c r="B26" s="18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</row>
    <row r="27" spans="1:15" x14ac:dyDescent="0.25">
      <c r="A27" s="19" t="str">
        <f t="array" ref="A27">IFERROR(INDEX('Summary Sheet'!B:B,SMALL(IF('Summary Sheet'!C:C=$B$2,ROW('Summary Sheet'!B:B)),ROW(A23))), "")</f>
        <v/>
      </c>
      <c r="B27" s="20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</row>
    <row r="28" spans="1:15" x14ac:dyDescent="0.25">
      <c r="A28" s="1" t="str">
        <f t="array" ref="A28">IFERROR(INDEX('Inventory Data'!B:B,SMALL(IF('Inventory Data'!C:C=$B$2,ROW('Inventory Data'!B:B)),ROW(A24))), "")</f>
        <v/>
      </c>
    </row>
  </sheetData>
  <mergeCells count="1">
    <mergeCell ref="A1:O1"/>
  </mergeCells>
  <conditionalFormatting sqref="B5:B20">
    <cfRule type="cellIs" dxfId="0" priority="1" operator="lessThan">
      <formula>30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'Inventory Data'!$J$2:$J$5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Data</vt:lpstr>
      <vt:lpstr>Summary Sheet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2025-12-28T09:12:55Z</dcterms:modified>
</cp:coreProperties>
</file>